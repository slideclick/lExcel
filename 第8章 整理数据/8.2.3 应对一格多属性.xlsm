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40" yWindow="285" windowWidth="17880" windowHeight="8130" activeTab="1"/>
  </bookViews>
  <sheets>
    <sheet name="字节" sheetId="1" r:id="rId1"/>
    <sheet name="Lookup" sheetId="2" r:id="rId2"/>
    <sheet name="批注" sheetId="3" r:id="rId3"/>
  </sheets>
  <functionGroups builtInGroupCount="17"/>
  <externalReferences>
    <externalReference r:id="rId4"/>
  </externalReferences>
  <calcPr calcId="145621" calcOnSave="0"/>
</workbook>
</file>

<file path=xl/calcChain.xml><?xml version="1.0" encoding="utf-8"?>
<calcChain xmlns="http://schemas.openxmlformats.org/spreadsheetml/2006/main">
  <c r="D3" i="2" l="1"/>
  <c r="D4" i="2"/>
  <c r="D2" i="2"/>
  <c r="E2" i="2" s="1"/>
  <c r="J2" i="2" a="1"/>
  <c r="J2" i="2" s="1"/>
  <c r="E3" i="2"/>
  <c r="E4" i="2"/>
  <c r="G3" i="2"/>
  <c r="H3" i="2"/>
  <c r="G4" i="2"/>
  <c r="H4" i="2"/>
  <c r="H2" i="2"/>
  <c r="G2" i="2"/>
  <c r="H3" i="1"/>
  <c r="H4" i="1"/>
  <c r="H2" i="1"/>
  <c r="G3" i="1"/>
  <c r="G4" i="1"/>
  <c r="G2" i="1"/>
  <c r="E3" i="1"/>
  <c r="E4" i="1"/>
  <c r="E2" i="1"/>
  <c r="D3" i="1"/>
  <c r="D4" i="1"/>
  <c r="D2" i="1"/>
  <c r="I4" i="3"/>
  <c r="I3" i="3"/>
  <c r="J1" i="2"/>
  <c r="N1" i="2"/>
  <c r="I1" i="3"/>
  <c r="G1" i="3"/>
  <c r="I2" i="3"/>
  <c r="G4" i="3"/>
  <c r="L1" i="2"/>
  <c r="H4" i="3"/>
  <c r="G3" i="3"/>
  <c r="H3" i="3"/>
  <c r="H2" i="3"/>
  <c r="G2" i="3"/>
  <c r="H1" i="3"/>
  <c r="J4" i="2" l="1"/>
  <c r="J9" i="2"/>
  <c r="J5" i="2"/>
  <c r="J8" i="2"/>
  <c r="J7" i="2"/>
  <c r="J3" i="2"/>
  <c r="J10" i="2"/>
  <c r="J6" i="2"/>
  <c r="L2" i="2" l="1" a="1"/>
  <c r="L6" i="2" s="1"/>
  <c r="L7" i="2" l="1"/>
  <c r="L2" i="2"/>
  <c r="L3" i="2"/>
  <c r="L9" i="2"/>
  <c r="L8" i="2"/>
  <c r="L10" i="2"/>
  <c r="L5" i="2"/>
  <c r="L4" i="2"/>
  <c r="N2" i="2" l="1"/>
</calcChain>
</file>

<file path=xl/comments1.xml><?xml version="1.0" encoding="utf-8"?>
<comments xmlns="http://schemas.openxmlformats.org/spreadsheetml/2006/main">
  <authors>
    <author>james.li</author>
  </authors>
  <commentList>
    <comment ref="B2" authorId="0">
      <text>
        <r>
          <rPr>
            <sz val="9"/>
            <color indexed="81"/>
            <rFont val="宋体"/>
            <family val="3"/>
            <charset val="134"/>
          </rPr>
          <t>低于安全库存量</t>
        </r>
      </text>
    </comment>
    <comment ref="B3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james.li:
低于安全库存量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<sst xmlns="http://schemas.openxmlformats.org/spreadsheetml/2006/main" count="36" uniqueCount="20">
  <si>
    <t>品名</t>
  </si>
  <si>
    <t>数量</t>
  </si>
  <si>
    <t xml:space="preserve">NB-1 活肤再生素/30ml </t>
    <phoneticPr fontId="2" type="noConversion"/>
  </si>
  <si>
    <t>10盒</t>
    <phoneticPr fontId="2" type="noConversion"/>
  </si>
  <si>
    <t>汉方保水洗面乳/80ml</t>
  </si>
  <si>
    <t>5盒</t>
    <phoneticPr fontId="2" type="noConversion"/>
  </si>
  <si>
    <t>NB-1抗皱敷面组合(十包装)</t>
    <phoneticPr fontId="2" type="noConversion"/>
  </si>
  <si>
    <t>20套组</t>
    <phoneticPr fontId="2" type="noConversion"/>
  </si>
  <si>
    <t>存量</t>
    <phoneticPr fontId="2" type="noConversion"/>
  </si>
  <si>
    <t>单位</t>
    <phoneticPr fontId="2" type="noConversion"/>
  </si>
  <si>
    <t>LEN函数</t>
    <phoneticPr fontId="2" type="noConversion"/>
  </si>
  <si>
    <t>LENB函数</t>
    <phoneticPr fontId="2" type="noConversion"/>
  </si>
  <si>
    <r>
      <t>20</t>
    </r>
    <r>
      <rPr>
        <sz val="11"/>
        <color rgb="FFFF0000"/>
        <rFont val="宋体"/>
        <family val="3"/>
        <charset val="134"/>
      </rPr>
      <t>套</t>
    </r>
    <r>
      <rPr>
        <sz val="11"/>
        <color rgb="FFFF0000"/>
        <rFont val="Arial"/>
        <family val="2"/>
      </rPr>
      <t>/</t>
    </r>
    <r>
      <rPr>
        <sz val="11"/>
        <color rgb="FFFF0000"/>
        <rFont val="宋体"/>
        <family val="3"/>
        <charset val="134"/>
      </rPr>
      <t>组</t>
    </r>
    <phoneticPr fontId="2" type="noConversion"/>
  </si>
  <si>
    <t>提取B2单元格左侧的字符</t>
    <phoneticPr fontId="2" type="noConversion"/>
  </si>
  <si>
    <t>文本转数字</t>
    <phoneticPr fontId="2" type="noConversion"/>
  </si>
  <si>
    <t>LOOKUP函数查找0</t>
    <phoneticPr fontId="2" type="noConversion"/>
  </si>
  <si>
    <t xml:space="preserve">NB-1 活肤再生素/30ml </t>
    <phoneticPr fontId="2" type="noConversion"/>
  </si>
  <si>
    <t>盒</t>
    <phoneticPr fontId="2" type="noConversion"/>
  </si>
  <si>
    <t>NB-1抗皱敷面组合(十包装)</t>
    <phoneticPr fontId="2" type="noConversion"/>
  </si>
  <si>
    <t>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</si>
</sst>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Arial"/>
      <family val="2"/>
      <charset val="134"/>
    </font>
    <font>
      <b/>
      <sz val="11"/>
      <color theme="1"/>
      <name val="Arial"/>
      <family val="2"/>
      <charset val="134"/>
    </font>
    <font>
      <sz val="9"/>
      <name val="Arial"/>
      <family val="2"/>
      <charset val="134"/>
    </font>
    <font>
      <sz val="11"/>
      <color rgb="FFFF0000"/>
      <name val="宋体"/>
      <family val="3"/>
      <charset val="134"/>
    </font>
    <font>
      <sz val="11"/>
      <color rgb="FFFF0000"/>
      <name val="Arial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mes.li/Documents/Excel/VBA/Custom%20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g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"/>
  <sheetViews>
    <sheetView workbookViewId="0">
      <selection activeCell="H2" sqref="H2"/>
    </sheetView>
  </sheetViews>
  <sheetFormatPr defaultRowHeight="14.25" x14ac:dyDescent="0.2"/>
  <cols>
    <col min="1" max="1" width="24.375" customWidth="1"/>
    <col min="2" max="2" width="11.625" customWidth="1"/>
    <col min="4" max="4" width="9.25" bestFit="1" customWidth="1"/>
    <col min="5" max="5" width="10.625" bestFit="1" customWidth="1"/>
  </cols>
  <sheetData>
    <row r="1" spans="1:8" ht="15" x14ac:dyDescent="0.2">
      <c r="A1" s="4" t="s">
        <v>0</v>
      </c>
      <c r="B1" s="4" t="s">
        <v>1</v>
      </c>
      <c r="D1" s="4" t="s">
        <v>10</v>
      </c>
      <c r="E1" s="4" t="s">
        <v>11</v>
      </c>
      <c r="G1" s="4" t="s">
        <v>8</v>
      </c>
      <c r="H1" s="4" t="s">
        <v>9</v>
      </c>
    </row>
    <row r="2" spans="1:8" x14ac:dyDescent="0.2">
      <c r="A2" s="1" t="s">
        <v>2</v>
      </c>
      <c r="B2" s="2" t="s">
        <v>3</v>
      </c>
      <c r="D2" s="1">
        <f>LEN(B2)</f>
        <v>3</v>
      </c>
      <c r="E2" s="1">
        <f>LENB(B2)</f>
        <v>4</v>
      </c>
      <c r="G2" s="1">
        <f>--LEFT(B2,LEN(B2)*2-LENB(B2))</f>
        <v>10</v>
      </c>
      <c r="H2" s="5" t="str">
        <f>RIGHT(B2,LENB(B2)-LEN(B2))</f>
        <v>盒</v>
      </c>
    </row>
    <row r="3" spans="1:8" x14ac:dyDescent="0.2">
      <c r="A3" s="1" t="s">
        <v>4</v>
      </c>
      <c r="B3" s="2" t="s">
        <v>5</v>
      </c>
      <c r="D3" s="1">
        <f t="shared" ref="D3:D4" si="0">LEN(B3)</f>
        <v>2</v>
      </c>
      <c r="E3" s="1">
        <f t="shared" ref="E3:E4" si="1">LENB(B3)</f>
        <v>3</v>
      </c>
      <c r="G3" s="1">
        <f t="shared" ref="G3:G4" si="2">--LEFT(B3,LEN(B3)*2-LENB(B3))</f>
        <v>5</v>
      </c>
      <c r="H3" s="5" t="str">
        <f t="shared" ref="H3:H4" si="3">RIGHT(B3,LENB(B3)-LEN(B3))</f>
        <v>盒</v>
      </c>
    </row>
    <row r="4" spans="1:8" x14ac:dyDescent="0.2">
      <c r="A4" s="1" t="s">
        <v>6</v>
      </c>
      <c r="B4" s="2" t="s">
        <v>7</v>
      </c>
      <c r="D4" s="1">
        <f t="shared" si="0"/>
        <v>4</v>
      </c>
      <c r="E4" s="1">
        <f t="shared" si="1"/>
        <v>6</v>
      </c>
      <c r="G4" s="1">
        <f t="shared" si="2"/>
        <v>20</v>
      </c>
      <c r="H4" s="5" t="str">
        <f t="shared" si="3"/>
        <v>套组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2"/>
  <sheetViews>
    <sheetView tabSelected="1" workbookViewId="0">
      <selection activeCell="F9" sqref="F9"/>
    </sheetView>
  </sheetViews>
  <sheetFormatPr defaultRowHeight="14.25" outlineLevelCol="1" x14ac:dyDescent="0.2"/>
  <cols>
    <col min="1" max="1" width="24.375" customWidth="1"/>
    <col min="2" max="2" width="11.625" customWidth="1"/>
    <col min="3" max="3" width="8.625" customWidth="1"/>
    <col min="4" max="6" width="9" customWidth="1" outlineLevel="1"/>
    <col min="9" max="9" width="4.75" customWidth="1"/>
    <col min="10" max="10" width="24.25" bestFit="1" customWidth="1"/>
    <col min="12" max="12" width="11" bestFit="1" customWidth="1"/>
    <col min="14" max="14" width="19.5" bestFit="1" customWidth="1"/>
  </cols>
  <sheetData>
    <row r="1" spans="1:14" ht="15" x14ac:dyDescent="0.2">
      <c r="A1" s="4" t="s">
        <v>0</v>
      </c>
      <c r="B1" s="4" t="s">
        <v>1</v>
      </c>
      <c r="C1" s="7"/>
      <c r="D1" s="4" t="s">
        <v>8</v>
      </c>
      <c r="E1" s="4" t="s">
        <v>9</v>
      </c>
      <c r="G1" s="4" t="s">
        <v>8</v>
      </c>
      <c r="H1" s="4" t="s">
        <v>9</v>
      </c>
      <c r="J1" s="3" t="str">
        <f ca="1">[1]!gs(J2)</f>
        <v>{=LEFT(B2,ROW($1:$9))}</v>
      </c>
      <c r="K1" s="9"/>
      <c r="L1" s="3" t="str">
        <f ca="1">[1]!gs(L2)</f>
        <v>{=-J2:J10}</v>
      </c>
      <c r="M1" s="10"/>
      <c r="N1" s="3" t="str">
        <f ca="1">[1]!gs(N2)</f>
        <v>=LOOKUP(0,L2:L10)</v>
      </c>
    </row>
    <row r="2" spans="1:14" x14ac:dyDescent="0.2">
      <c r="A2" s="1" t="s">
        <v>2</v>
      </c>
      <c r="B2" s="2" t="s">
        <v>3</v>
      </c>
      <c r="C2" s="6"/>
      <c r="D2" s="1">
        <f>-LOOKUP(0,-LEFT(B2,ROW($1:$9)))</f>
        <v>10</v>
      </c>
      <c r="E2" s="5" t="str">
        <f>SUBSTITUTE(B2,D2,)</f>
        <v>盒</v>
      </c>
      <c r="G2" s="1">
        <f>--LEFT(B2,LEN(B2)*2-LENB(B2))</f>
        <v>10</v>
      </c>
      <c r="H2" s="5" t="str">
        <f>RIGHT(B2,LENB(B2)-LEN(B2))</f>
        <v>盒</v>
      </c>
      <c r="J2" s="1" t="str">
        <f t="array" ref="J2:J10">LEFT(B2,ROW($1:$9))</f>
        <v>1</v>
      </c>
      <c r="K2" s="8"/>
      <c r="L2" s="1">
        <f t="array" ref="L2:L10">-J2:J10</f>
        <v>-1</v>
      </c>
      <c r="N2" s="1">
        <f>LOOKUP(0,L2:L10)</f>
        <v>-10</v>
      </c>
    </row>
    <row r="3" spans="1:14" x14ac:dyDescent="0.2">
      <c r="A3" s="1" t="s">
        <v>4</v>
      </c>
      <c r="B3" s="2" t="s">
        <v>5</v>
      </c>
      <c r="C3" s="6"/>
      <c r="D3" s="1">
        <f t="shared" ref="D3:D4" si="0">-LOOKUP(0,-LEFT(B3,ROW($1:$9)))</f>
        <v>5</v>
      </c>
      <c r="E3" s="5" t="str">
        <f t="shared" ref="E3:E4" si="1">SUBSTITUTE(B3,D3,)</f>
        <v>盒</v>
      </c>
      <c r="G3" s="1">
        <f>--LEFT(B3,LEN(B3)*2-LENB(B3))</f>
        <v>5</v>
      </c>
      <c r="H3" s="5" t="str">
        <f t="shared" ref="H3:H4" si="2">RIGHT(B3,LENB(B3)-LEN(B3))</f>
        <v>盒</v>
      </c>
      <c r="J3" s="1" t="str">
        <v>10</v>
      </c>
      <c r="K3" s="8"/>
      <c r="L3" s="1">
        <v>-10</v>
      </c>
    </row>
    <row r="4" spans="1:14" x14ac:dyDescent="0.2">
      <c r="A4" s="1" t="s">
        <v>6</v>
      </c>
      <c r="B4" s="2" t="s">
        <v>12</v>
      </c>
      <c r="C4" s="6"/>
      <c r="D4" s="1">
        <f t="shared" si="0"/>
        <v>20</v>
      </c>
      <c r="E4" s="5" t="str">
        <f t="shared" si="1"/>
        <v>套/组</v>
      </c>
      <c r="G4" s="1" t="e">
        <f>--LEFT(B4,LEN(B4)*2-LENB(B4))</f>
        <v>#VALUE!</v>
      </c>
      <c r="H4" s="5" t="str">
        <f t="shared" si="2"/>
        <v>/组</v>
      </c>
      <c r="J4" s="1" t="str">
        <v>10盒</v>
      </c>
      <c r="K4" s="8"/>
      <c r="L4" s="1" t="e">
        <v>#VALUE!</v>
      </c>
    </row>
    <row r="5" spans="1:14" x14ac:dyDescent="0.2">
      <c r="J5" s="1" t="str">
        <v>10盒</v>
      </c>
      <c r="K5" s="8"/>
      <c r="L5" s="1" t="e">
        <v>#VALUE!</v>
      </c>
    </row>
    <row r="6" spans="1:14" x14ac:dyDescent="0.2">
      <c r="J6" s="1" t="str">
        <v>10盒</v>
      </c>
      <c r="K6" s="8"/>
      <c r="L6" s="1" t="e">
        <v>#VALUE!</v>
      </c>
    </row>
    <row r="7" spans="1:14" x14ac:dyDescent="0.2">
      <c r="J7" s="1" t="str">
        <v>10盒</v>
      </c>
      <c r="K7" s="8"/>
      <c r="L7" s="1" t="e">
        <v>#VALUE!</v>
      </c>
    </row>
    <row r="8" spans="1:14" x14ac:dyDescent="0.2">
      <c r="J8" s="1" t="str">
        <v>10盒</v>
      </c>
      <c r="K8" s="8"/>
      <c r="L8" s="1" t="e">
        <v>#VALUE!</v>
      </c>
    </row>
    <row r="9" spans="1:14" x14ac:dyDescent="0.2">
      <c r="J9" s="1" t="str">
        <v>10盒</v>
      </c>
      <c r="K9" s="8"/>
      <c r="L9" s="1" t="e">
        <v>#VALUE!</v>
      </c>
    </row>
    <row r="10" spans="1:14" x14ac:dyDescent="0.2">
      <c r="J10" s="1" t="str">
        <v>10盒</v>
      </c>
      <c r="K10" s="11"/>
      <c r="L10" s="1" t="e">
        <v>#VALUE!</v>
      </c>
    </row>
    <row r="12" spans="1:14" x14ac:dyDescent="0.2">
      <c r="J12" t="s">
        <v>13</v>
      </c>
      <c r="L12" t="s">
        <v>14</v>
      </c>
      <c r="N12" t="s">
        <v>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4"/>
  <sheetViews>
    <sheetView topLeftCell="B1" workbookViewId="0">
      <selection activeCell="G4" sqref="G4"/>
    </sheetView>
  </sheetViews>
  <sheetFormatPr defaultRowHeight="14.25" x14ac:dyDescent="0.2"/>
  <cols>
    <col min="1" max="1" width="23.75" customWidth="1"/>
    <col min="2" max="2" width="5.5" bestFit="1" customWidth="1"/>
    <col min="3" max="3" width="7.75" customWidth="1"/>
    <col min="5" max="5" width="3.25" customWidth="1"/>
    <col min="6" max="6" width="4.875" customWidth="1"/>
    <col min="7" max="7" width="22.625" bestFit="1" customWidth="1"/>
    <col min="8" max="8" width="26.625" bestFit="1" customWidth="1"/>
    <col min="9" max="9" width="27.75" bestFit="1" customWidth="1"/>
  </cols>
  <sheetData>
    <row r="1" spans="1:9" ht="15" x14ac:dyDescent="0.2">
      <c r="A1" s="4" t="s">
        <v>0</v>
      </c>
      <c r="B1" s="4" t="s">
        <v>1</v>
      </c>
      <c r="C1" s="4" t="s">
        <v>9</v>
      </c>
      <c r="G1" s="3" t="str">
        <f ca="1">[1]!gs(G2)</f>
        <v>=提取批注(B2)</v>
      </c>
      <c r="H1" s="3" t="str">
        <f ca="1">[1]!gs(H2)</f>
        <v>=IFERROR(提取批注(B2),"")</v>
      </c>
      <c r="I1" s="3" t="str">
        <f ca="1">[1]!gs(I2)</f>
        <v>=IFERROR(提取批注2(B2),"")</v>
      </c>
    </row>
    <row r="2" spans="1:9" x14ac:dyDescent="0.2">
      <c r="A2" s="1" t="s">
        <v>16</v>
      </c>
      <c r="B2" s="1">
        <v>10</v>
      </c>
      <c r="C2" s="2" t="s">
        <v>17</v>
      </c>
      <c r="G2" s="1" t="str">
        <f ca="1">提取批注(B2)</f>
        <v>低于安全库存量</v>
      </c>
      <c r="H2" s="1" t="str">
        <f ca="1">IFERROR(提取批注(B2),"")</f>
        <v>低于安全库存量</v>
      </c>
      <c r="I2" s="1" t="str">
        <f>IFERROR(提取批注2(B2),"")</f>
        <v>低于安全库存量</v>
      </c>
    </row>
    <row r="3" spans="1:9" x14ac:dyDescent="0.2">
      <c r="A3" s="1" t="s">
        <v>4</v>
      </c>
      <c r="B3" s="1">
        <v>5</v>
      </c>
      <c r="C3" s="2" t="s">
        <v>17</v>
      </c>
      <c r="G3" s="1" t="str">
        <f t="shared" ref="G3" ca="1" si="0">提取批注(B3)</f>
        <v xml:space="preserve">james.li:
低于安全库存量
</v>
      </c>
      <c r="H3" s="1" t="str">
        <f t="shared" ref="H3:H4" ca="1" si="1">IFERROR(提取批注(B3),"")</f>
        <v xml:space="preserve">james.li:
低于安全库存量
</v>
      </c>
      <c r="I3" s="1" t="str">
        <f t="shared" ref="I3:I4" si="2">IFERROR(提取批注2(B3),"")</f>
        <v xml:space="preserve">
低于安全库存量
</v>
      </c>
    </row>
    <row r="4" spans="1:9" x14ac:dyDescent="0.2">
      <c r="A4" s="1" t="s">
        <v>18</v>
      </c>
      <c r="B4" s="1">
        <v>20</v>
      </c>
      <c r="C4" s="2" t="s">
        <v>19</v>
      </c>
      <c r="G4" s="1" t="e">
        <f ca="1">提取批注(B4)</f>
        <v>#VALUE!</v>
      </c>
      <c r="H4" s="1" t="str">
        <f t="shared" ca="1" si="1"/>
        <v/>
      </c>
      <c r="I4" s="1" t="str">
        <f t="shared" si="2"/>
        <v/>
      </c>
    </row>
  </sheetData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字节</vt:lpstr>
      <vt:lpstr>Lookup</vt:lpstr>
      <vt:lpstr>批注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james.li</dc:creator>
  <cp:lastModifiedBy>james.li</cp:lastModifiedBy>
  <dcterms:created xsi:type="dcterms:W3CDTF">2013-09-04T02:57:18Z</dcterms:created>
  <dcterms:modified xsi:type="dcterms:W3CDTF">2013-10-28T06:48:04Z</dcterms:modified>
</cp:coreProperties>
</file>