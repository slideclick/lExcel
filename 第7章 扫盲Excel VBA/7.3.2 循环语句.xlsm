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4235" windowHeight="6945" activeTab="5"/>
  </bookViews>
  <sheets>
    <sheet name="A公司" sheetId="2" r:id="rId1"/>
    <sheet name="B公司" sheetId="3" r:id="rId2"/>
    <sheet name="C公司" sheetId="4" r:id="rId3"/>
    <sheet name="D公司" sheetId="5" r:id="rId4"/>
    <sheet name="E公司" sheetId="6" r:id="rId5"/>
    <sheet name="客户资料" sheetId="7" r:id="rId6"/>
  </sheets>
  <definedNames>
    <definedName name="_xlnm.Print_Area" localSheetId="0">A公司!$A$1:$D$19</definedName>
    <definedName name="_xlnm.Print_Area" localSheetId="1">B公司!$A$1:$D$19</definedName>
    <definedName name="_xlnm.Print_Area" localSheetId="2">C公司!$A$1:$D$19</definedName>
    <definedName name="_xlnm.Print_Area" localSheetId="3">D公司!$A$1:$D$19</definedName>
    <definedName name="_xlnm.Print_Area" localSheetId="4">E公司!$A$1:$D$19</definedName>
  </definedNames>
  <calcPr calcId="145621"/>
</workbook>
</file>

<file path=xl/calcChain.xml><?xml version="1.0" encoding="utf-8"?>
<calcChain xmlns="http://schemas.openxmlformats.org/spreadsheetml/2006/main">
  <c r="D18" i="6" l="1"/>
  <c r="D17" i="6"/>
  <c r="D16" i="6"/>
  <c r="D14" i="6"/>
  <c r="D13" i="6"/>
  <c r="D12" i="6"/>
  <c r="D11" i="6"/>
  <c r="D9" i="6"/>
  <c r="D7" i="6"/>
  <c r="D6" i="6"/>
  <c r="D5" i="6"/>
  <c r="C4" i="6"/>
  <c r="C8" i="6" s="1"/>
  <c r="C10" i="6" s="1"/>
  <c r="C15" i="6" s="1"/>
  <c r="C19" i="6" s="1"/>
  <c r="B4" i="6"/>
  <c r="B8" i="6" s="1"/>
  <c r="D3" i="6"/>
  <c r="D2" i="6"/>
  <c r="D18" i="5"/>
  <c r="D17" i="5"/>
  <c r="D16" i="5"/>
  <c r="D14" i="5"/>
  <c r="D13" i="5"/>
  <c r="D12" i="5"/>
  <c r="D11" i="5"/>
  <c r="D9" i="5"/>
  <c r="D7" i="5"/>
  <c r="D6" i="5"/>
  <c r="D5" i="5"/>
  <c r="C4" i="5"/>
  <c r="C8" i="5" s="1"/>
  <c r="C10" i="5" s="1"/>
  <c r="C15" i="5" s="1"/>
  <c r="C19" i="5" s="1"/>
  <c r="B4" i="5"/>
  <c r="B8" i="5" s="1"/>
  <c r="D3" i="5"/>
  <c r="D2" i="5"/>
  <c r="D8" i="6" l="1"/>
  <c r="D4" i="6"/>
  <c r="B10" i="6"/>
  <c r="B10" i="5"/>
  <c r="D8" i="5"/>
  <c r="D4" i="5"/>
  <c r="D18" i="4"/>
  <c r="D17" i="4"/>
  <c r="D16" i="4"/>
  <c r="D14" i="4"/>
  <c r="D13" i="4"/>
  <c r="D12" i="4"/>
  <c r="D11" i="4"/>
  <c r="D9" i="4"/>
  <c r="D7" i="4"/>
  <c r="D6" i="4"/>
  <c r="D5" i="4"/>
  <c r="C4" i="4"/>
  <c r="C8" i="4" s="1"/>
  <c r="C10" i="4" s="1"/>
  <c r="D3" i="4"/>
  <c r="D2" i="4"/>
  <c r="D18" i="3"/>
  <c r="D17" i="3"/>
  <c r="D16" i="3"/>
  <c r="D14" i="3"/>
  <c r="D13" i="3"/>
  <c r="D12" i="3"/>
  <c r="D11" i="3"/>
  <c r="D9" i="3"/>
  <c r="D7" i="3"/>
  <c r="D6" i="3"/>
  <c r="D5" i="3"/>
  <c r="C4" i="3"/>
  <c r="C8" i="3" s="1"/>
  <c r="C10" i="3" s="1"/>
  <c r="D3" i="3"/>
  <c r="D2" i="3"/>
  <c r="D3" i="2"/>
  <c r="D5" i="2"/>
  <c r="D6" i="2"/>
  <c r="D7" i="2"/>
  <c r="D9" i="2"/>
  <c r="D11" i="2"/>
  <c r="D12" i="2"/>
  <c r="D13" i="2"/>
  <c r="D14" i="2"/>
  <c r="D16" i="2"/>
  <c r="D17" i="2"/>
  <c r="D18" i="2"/>
  <c r="D2" i="2"/>
  <c r="C4" i="2"/>
  <c r="C8" i="2" s="1"/>
  <c r="C10" i="2" s="1"/>
  <c r="C15" i="2" s="1"/>
  <c r="C19" i="2" s="1"/>
  <c r="B4" i="4"/>
  <c r="B8" i="4" s="1"/>
  <c r="B10" i="4" s="1"/>
  <c r="B15" i="4" s="1"/>
  <c r="B19" i="4" s="1"/>
  <c r="B4" i="3"/>
  <c r="B8" i="3" s="1"/>
  <c r="B10" i="3" s="1"/>
  <c r="B15" i="3" s="1"/>
  <c r="B19" i="3" s="1"/>
  <c r="B4" i="2"/>
  <c r="B8" i="2" s="1"/>
  <c r="B10" i="2" s="1"/>
  <c r="B15" i="2" s="1"/>
  <c r="B19" i="2" s="1"/>
  <c r="D19" i="2" l="1"/>
  <c r="D10" i="6"/>
  <c r="B15" i="6"/>
  <c r="B15" i="5"/>
  <c r="D10" i="5"/>
  <c r="D4" i="4"/>
  <c r="D10" i="2"/>
  <c r="D8" i="2"/>
  <c r="D4" i="2"/>
  <c r="D15" i="2"/>
  <c r="D4" i="3"/>
  <c r="C15" i="4"/>
  <c r="D10" i="4"/>
  <c r="D8" i="4"/>
  <c r="C15" i="3"/>
  <c r="D10" i="3"/>
  <c r="D8" i="3"/>
  <c r="B19" i="6" l="1"/>
  <c r="D19" i="6" s="1"/>
  <c r="D15" i="6"/>
  <c r="B19" i="5"/>
  <c r="D19" i="5" s="1"/>
  <c r="D15" i="5"/>
  <c r="C19" i="4"/>
  <c r="D19" i="4" s="1"/>
  <c r="D15" i="4"/>
  <c r="C19" i="3"/>
  <c r="D19" i="3" s="1"/>
  <c r="D15" i="3"/>
</calcChain>
</file>

<file path=xl/sharedStrings.xml><?xml version="1.0" encoding="utf-8"?>
<sst xmlns="http://schemas.openxmlformats.org/spreadsheetml/2006/main" count="188" uniqueCount="92">
  <si>
    <t>项目</t>
  </si>
  <si>
    <t>一、营业收入</t>
    <phoneticPr fontId="5" type="noConversion"/>
  </si>
  <si>
    <t xml:space="preserve">        减：销售折扣与折让</t>
    <phoneticPr fontId="5" type="noConversion"/>
  </si>
  <si>
    <t xml:space="preserve">        营业收入净额</t>
    <phoneticPr fontId="5" type="noConversion"/>
  </si>
  <si>
    <t xml:space="preserve">        减：营业成本</t>
    <phoneticPr fontId="5" type="noConversion"/>
  </si>
  <si>
    <t xml:space="preserve">            经营费用</t>
    <phoneticPr fontId="5" type="noConversion"/>
  </si>
  <si>
    <t xml:space="preserve">            商品销售税金及附加</t>
    <phoneticPr fontId="5" type="noConversion"/>
  </si>
  <si>
    <t>二、商品销售利润</t>
    <phoneticPr fontId="5" type="noConversion"/>
  </si>
  <si>
    <t xml:space="preserve">        加：代购代销收入</t>
    <phoneticPr fontId="5" type="noConversion"/>
  </si>
  <si>
    <t>三、主营业务利润</t>
    <phoneticPr fontId="5" type="noConversion"/>
  </si>
  <si>
    <t xml:space="preserve">        加：其他业务利润</t>
    <phoneticPr fontId="5" type="noConversion"/>
  </si>
  <si>
    <t xml:space="preserve">        减：管理费用</t>
    <phoneticPr fontId="5" type="noConversion"/>
  </si>
  <si>
    <t xml:space="preserve">            财务费用</t>
    <phoneticPr fontId="5" type="noConversion"/>
  </si>
  <si>
    <t xml:space="preserve">            汇兑损失</t>
    <phoneticPr fontId="5" type="noConversion"/>
  </si>
  <si>
    <t>四、营业利润</t>
    <phoneticPr fontId="5" type="noConversion"/>
  </si>
  <si>
    <t xml:space="preserve">        加：投资收益</t>
    <phoneticPr fontId="5" type="noConversion"/>
  </si>
  <si>
    <t xml:space="preserve">            营业外收入</t>
    <phoneticPr fontId="5" type="noConversion"/>
  </si>
  <si>
    <t xml:space="preserve">        减：营业外支出</t>
    <phoneticPr fontId="5" type="noConversion"/>
  </si>
  <si>
    <t>五、利润总额</t>
    <phoneticPr fontId="5" type="noConversion"/>
  </si>
  <si>
    <t>一、营业收入</t>
    <phoneticPr fontId="5" type="noConversion"/>
  </si>
  <si>
    <t xml:space="preserve">        减：销售折扣与折让</t>
    <phoneticPr fontId="5" type="noConversion"/>
  </si>
  <si>
    <t xml:space="preserve">        营业收入净额</t>
    <phoneticPr fontId="5" type="noConversion"/>
  </si>
  <si>
    <t xml:space="preserve">        减：营业成本</t>
    <phoneticPr fontId="5" type="noConversion"/>
  </si>
  <si>
    <t xml:space="preserve">            经营费用</t>
    <phoneticPr fontId="5" type="noConversion"/>
  </si>
  <si>
    <t xml:space="preserve">            商品销售税金及附加</t>
    <phoneticPr fontId="5" type="noConversion"/>
  </si>
  <si>
    <t>二、商品销售利润</t>
    <phoneticPr fontId="5" type="noConversion"/>
  </si>
  <si>
    <t xml:space="preserve">        加：代购代销收入</t>
    <phoneticPr fontId="5" type="noConversion"/>
  </si>
  <si>
    <t>三、主营业务利润</t>
    <phoneticPr fontId="5" type="noConversion"/>
  </si>
  <si>
    <t xml:space="preserve">        加：其他业务利润</t>
    <phoneticPr fontId="5" type="noConversion"/>
  </si>
  <si>
    <t xml:space="preserve">        减：管理费用</t>
    <phoneticPr fontId="5" type="noConversion"/>
  </si>
  <si>
    <t xml:space="preserve">            财务费用</t>
    <phoneticPr fontId="5" type="noConversion"/>
  </si>
  <si>
    <t xml:space="preserve">            汇兑损失</t>
    <phoneticPr fontId="5" type="noConversion"/>
  </si>
  <si>
    <t>四、营业利润</t>
    <phoneticPr fontId="5" type="noConversion"/>
  </si>
  <si>
    <t xml:space="preserve">        加：投资收益</t>
    <phoneticPr fontId="5" type="noConversion"/>
  </si>
  <si>
    <t xml:space="preserve">            营业外收入</t>
    <phoneticPr fontId="5" type="noConversion"/>
  </si>
  <si>
    <t xml:space="preserve">        减：营业外支出</t>
    <phoneticPr fontId="5" type="noConversion"/>
  </si>
  <si>
    <t>五、利润总额</t>
    <phoneticPr fontId="5" type="noConversion"/>
  </si>
  <si>
    <t>1月</t>
    <phoneticPr fontId="1" type="noConversion"/>
  </si>
  <si>
    <t>2月</t>
    <phoneticPr fontId="1" type="noConversion"/>
  </si>
  <si>
    <t>累计</t>
    <phoneticPr fontId="1" type="noConversion"/>
  </si>
  <si>
    <t>1月</t>
    <phoneticPr fontId="1" type="noConversion"/>
  </si>
  <si>
    <t>备注</t>
    <phoneticPr fontId="1" type="noConversion"/>
  </si>
  <si>
    <t>NORTH</t>
  </si>
  <si>
    <t>吉林省</t>
  </si>
  <si>
    <t>兴安盟</t>
  </si>
  <si>
    <t>吉林市</t>
  </si>
  <si>
    <t>Franchise</t>
  </si>
  <si>
    <t>M048200112</t>
  </si>
  <si>
    <t>M043200110</t>
  </si>
  <si>
    <t>商业区</t>
  </si>
  <si>
    <t>2</t>
  </si>
  <si>
    <t>住宅区</t>
  </si>
  <si>
    <t>1、2</t>
  </si>
  <si>
    <t>河北省</t>
  </si>
  <si>
    <t>唐山市</t>
  </si>
  <si>
    <t>M031500111</t>
  </si>
  <si>
    <t>S031500107</t>
  </si>
  <si>
    <t>唐山祥庭贸易有限公司</t>
  </si>
  <si>
    <t>1</t>
  </si>
  <si>
    <t>SOUTH</t>
  </si>
  <si>
    <t>江西省</t>
  </si>
  <si>
    <t>九江市</t>
  </si>
  <si>
    <t>南昌市</t>
  </si>
  <si>
    <t>NCS Lite</t>
  </si>
  <si>
    <t>NCS</t>
  </si>
  <si>
    <t>S079200208</t>
  </si>
  <si>
    <t>M079100111</t>
  </si>
  <si>
    <t>湖口县女人世界</t>
  </si>
  <si>
    <t>社区</t>
  </si>
  <si>
    <t>1,2</t>
  </si>
  <si>
    <t>WEST</t>
  </si>
  <si>
    <t>酒泉市</t>
  </si>
  <si>
    <t>陕西省</t>
  </si>
  <si>
    <t>咸阳市</t>
  </si>
  <si>
    <t>S093700109</t>
  </si>
  <si>
    <t>M002900113</t>
  </si>
  <si>
    <t>大区</t>
    <phoneticPr fontId="1" type="noConversion"/>
  </si>
  <si>
    <t>省份</t>
    <phoneticPr fontId="1" type="noConversion"/>
  </si>
  <si>
    <t>城市</t>
    <phoneticPr fontId="1" type="noConversion"/>
  </si>
  <si>
    <t>客户类型</t>
    <phoneticPr fontId="1" type="noConversion"/>
  </si>
  <si>
    <t>客户编号</t>
    <phoneticPr fontId="1" type="noConversion"/>
  </si>
  <si>
    <t>客户名称</t>
    <phoneticPr fontId="1" type="noConversion"/>
  </si>
  <si>
    <t>商圈</t>
    <phoneticPr fontId="1" type="noConversion"/>
  </si>
  <si>
    <t>楼层</t>
    <phoneticPr fontId="1" type="noConversion"/>
  </si>
  <si>
    <t>总面积</t>
    <phoneticPr fontId="1" type="noConversion"/>
  </si>
  <si>
    <t>甘肃省</t>
    <phoneticPr fontId="1" type="noConversion"/>
  </si>
  <si>
    <t>唐山市道北区兴源道美容沙龙</t>
    <phoneticPr fontId="1" type="noConversion"/>
  </si>
  <si>
    <t>南昌市红谷滩区凯旋新概念店</t>
    <phoneticPr fontId="1" type="noConversion"/>
  </si>
  <si>
    <t>咸阳新华纺美容院</t>
    <phoneticPr fontId="1" type="noConversion"/>
  </si>
  <si>
    <t>敦煌市自然美容沙龙</t>
    <phoneticPr fontId="1" type="noConversion"/>
  </si>
  <si>
    <t>突泉美容美体沙龙</t>
    <phoneticPr fontId="1" type="noConversion"/>
  </si>
  <si>
    <t>吉林市船山区千贵美容生活馆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</si>
</sst>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8" x14ac:knownFonts="1">
    <font>
      <sz val="12"/>
      <color theme="1"/>
      <name val="Arial"/>
      <family val="2"/>
      <charset val="134"/>
    </font>
    <font>
      <sz val="9"/>
      <name val="Arial"/>
      <family val="2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  <font>
      <b/>
      <sz val="12"/>
      <color theme="1"/>
      <name val="Arial"/>
      <family val="2"/>
      <charset val="134"/>
    </font>
    <font>
      <sz val="12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2" borderId="1" xfId="1" applyFont="1" applyFill="1" applyBorder="1" applyAlignment="1" applyProtection="1">
      <alignment horizontal="center"/>
      <protection locked="0"/>
    </xf>
    <xf numFmtId="4" fontId="3" fillId="2" borderId="2" xfId="1" applyNumberFormat="1" applyFont="1" applyFill="1" applyBorder="1" applyAlignment="1" applyProtection="1">
      <alignment horizontal="center"/>
      <protection locked="0"/>
    </xf>
    <xf numFmtId="0" fontId="4" fillId="2" borderId="3" xfId="1" applyFont="1" applyFill="1" applyBorder="1" applyAlignment="1" applyProtection="1">
      <protection locked="0"/>
    </xf>
    <xf numFmtId="43" fontId="4" fillId="0" borderId="3" xfId="1" applyNumberFormat="1" applyFont="1" applyFill="1" applyBorder="1" applyAlignment="1" applyProtection="1">
      <alignment horizontal="right"/>
      <protection locked="0"/>
    </xf>
    <xf numFmtId="43" fontId="4" fillId="2" borderId="3" xfId="1" applyNumberFormat="1" applyFont="1" applyFill="1" applyBorder="1" applyAlignment="1" applyProtection="1">
      <alignment horizontal="right"/>
      <protection locked="0"/>
    </xf>
    <xf numFmtId="4" fontId="3" fillId="2" borderId="4" xfId="1" applyNumberFormat="1" applyFont="1" applyFill="1" applyBorder="1" applyAlignment="1" applyProtection="1">
      <alignment horizontal="center"/>
      <protection locked="0"/>
    </xf>
    <xf numFmtId="4" fontId="3" fillId="2" borderId="3" xfId="1" applyNumberFormat="1" applyFont="1" applyFill="1" applyBorder="1" applyAlignment="1" applyProtection="1">
      <alignment horizontal="center"/>
      <protection locked="0"/>
    </xf>
    <xf numFmtId="0" fontId="0" fillId="0" borderId="3" xfId="0" applyBorder="1">
      <alignment vertical="center"/>
    </xf>
    <xf numFmtId="0" fontId="6" fillId="3" borderId="3" xfId="0" applyFont="1" applyFill="1" applyBorder="1" applyAlignment="1">
      <alignment horizontal="center" vertical="center"/>
    </xf>
    <xf numFmtId="0" fontId="7" fillId="0" borderId="3" xfId="0" applyFont="1" applyBorder="1">
      <alignment vertical="center"/>
    </xf>
  </cellXfs>
  <cellStyles count="2">
    <cellStyle name="常规" xfId="0" builtinId="0"/>
    <cellStyle name="常规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0" sqref="D20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  <col min="5" max="5" width="23.44140625" customWidth="1"/>
  </cols>
  <sheetData>
    <row r="1" spans="1:5" x14ac:dyDescent="0.15">
      <c r="A1" s="1" t="s">
        <v>0</v>
      </c>
      <c r="B1" s="2" t="s">
        <v>37</v>
      </c>
      <c r="C1" s="2" t="s">
        <v>38</v>
      </c>
      <c r="D1" s="6" t="s">
        <v>39</v>
      </c>
      <c r="E1" s="7" t="s">
        <v>41</v>
      </c>
    </row>
    <row r="2" spans="1:5" x14ac:dyDescent="0.15">
      <c r="A2" s="3" t="s">
        <v>1</v>
      </c>
      <c r="B2" s="4">
        <v>9404375</v>
      </c>
      <c r="C2" s="4">
        <v>5535572.5928727891</v>
      </c>
      <c r="D2" s="5">
        <f>SUM(B2:C2)</f>
        <v>14939947.592872789</v>
      </c>
      <c r="E2" s="8"/>
    </row>
    <row r="3" spans="1:5" x14ac:dyDescent="0.15">
      <c r="A3" s="3" t="s">
        <v>2</v>
      </c>
      <c r="B3" s="4">
        <v>721229.81784004194</v>
      </c>
      <c r="C3" s="4">
        <v>424527.94713077374</v>
      </c>
      <c r="D3" s="5">
        <f t="shared" ref="D3:D19" si="0">SUM(B3:C3)</f>
        <v>1145757.7649708157</v>
      </c>
      <c r="E3" s="8"/>
    </row>
    <row r="4" spans="1:5" x14ac:dyDescent="0.15">
      <c r="A4" s="3" t="s">
        <v>3</v>
      </c>
      <c r="B4" s="5">
        <f>B2-B3</f>
        <v>8683145.1821599584</v>
      </c>
      <c r="C4" s="5">
        <f>C2-C3</f>
        <v>5111044.645742015</v>
      </c>
      <c r="D4" s="5">
        <f t="shared" si="0"/>
        <v>13794189.827901974</v>
      </c>
      <c r="E4" s="8"/>
    </row>
    <row r="5" spans="1:5" x14ac:dyDescent="0.15">
      <c r="A5" s="3" t="s">
        <v>4</v>
      </c>
      <c r="B5" s="4">
        <v>2253196.0979702543</v>
      </c>
      <c r="C5" s="4">
        <v>1326268.9510246085</v>
      </c>
      <c r="D5" s="5">
        <f t="shared" si="0"/>
        <v>3579465.0489948625</v>
      </c>
      <c r="E5" s="8"/>
    </row>
    <row r="6" spans="1:5" x14ac:dyDescent="0.15">
      <c r="A6" s="3" t="s">
        <v>5</v>
      </c>
      <c r="B6" s="4">
        <v>580999</v>
      </c>
      <c r="C6" s="4">
        <v>341985.73971013463</v>
      </c>
      <c r="D6" s="5">
        <f t="shared" si="0"/>
        <v>922984.73971013469</v>
      </c>
      <c r="E6" s="8"/>
    </row>
    <row r="7" spans="1:5" x14ac:dyDescent="0.15">
      <c r="A7" s="3" t="s">
        <v>6</v>
      </c>
      <c r="B7" s="4">
        <v>333855.31249999994</v>
      </c>
      <c r="C7" s="4">
        <v>196512.82704698399</v>
      </c>
      <c r="D7" s="5">
        <f t="shared" si="0"/>
        <v>530368.13954698388</v>
      </c>
      <c r="E7" s="8"/>
    </row>
    <row r="8" spans="1:5" x14ac:dyDescent="0.15">
      <c r="A8" s="3" t="s">
        <v>7</v>
      </c>
      <c r="B8" s="5">
        <f>B4-B5-B6-B7</f>
        <v>5515094.7716897037</v>
      </c>
      <c r="C8" s="5">
        <f>C4-C5-C6-C7</f>
        <v>3246277.127960288</v>
      </c>
      <c r="D8" s="5">
        <f t="shared" si="0"/>
        <v>8761371.8996499926</v>
      </c>
      <c r="E8" s="8"/>
    </row>
    <row r="9" spans="1:5" x14ac:dyDescent="0.15">
      <c r="A9" s="3" t="s">
        <v>8</v>
      </c>
      <c r="B9" s="4">
        <v>5000</v>
      </c>
      <c r="C9" s="4">
        <v>2943.0837205411253</v>
      </c>
      <c r="D9" s="5">
        <f t="shared" si="0"/>
        <v>7943.0837205411253</v>
      </c>
      <c r="E9" s="8"/>
    </row>
    <row r="10" spans="1:5" x14ac:dyDescent="0.15">
      <c r="A10" s="3" t="s">
        <v>9</v>
      </c>
      <c r="B10" s="5">
        <f>B8+B9</f>
        <v>5520094.7716897037</v>
      </c>
      <c r="C10" s="5">
        <f>C8+C9</f>
        <v>3249220.2116808291</v>
      </c>
      <c r="D10" s="5">
        <f t="shared" si="0"/>
        <v>8769314.9833705332</v>
      </c>
      <c r="E10" s="8"/>
    </row>
    <row r="11" spans="1:5" x14ac:dyDescent="0.15">
      <c r="A11" s="3" t="s">
        <v>10</v>
      </c>
      <c r="B11" s="4">
        <v>471300</v>
      </c>
      <c r="C11" s="4">
        <v>186255.944506267</v>
      </c>
      <c r="D11" s="5">
        <f t="shared" si="0"/>
        <v>657555.94450626697</v>
      </c>
      <c r="E11" s="8"/>
    </row>
    <row r="12" spans="1:5" x14ac:dyDescent="0.15">
      <c r="A12" s="3" t="s">
        <v>11</v>
      </c>
      <c r="B12" s="4">
        <v>239207</v>
      </c>
      <c r="C12" s="4">
        <v>94533.684951221323</v>
      </c>
      <c r="D12" s="5">
        <f t="shared" si="0"/>
        <v>333740.68495122134</v>
      </c>
      <c r="E12" s="8"/>
    </row>
    <row r="13" spans="1:5" x14ac:dyDescent="0.15">
      <c r="A13" s="3" t="s">
        <v>12</v>
      </c>
      <c r="B13" s="4">
        <v>7601</v>
      </c>
      <c r="C13" s="4">
        <v>3003.8859202039794</v>
      </c>
      <c r="D13" s="5">
        <f t="shared" si="0"/>
        <v>10604.885920203978</v>
      </c>
      <c r="E13" s="8"/>
    </row>
    <row r="14" spans="1:5" x14ac:dyDescent="0.15">
      <c r="A14" s="3" t="s">
        <v>13</v>
      </c>
      <c r="B14" s="4">
        <v>0</v>
      </c>
      <c r="C14" s="4">
        <v>0</v>
      </c>
      <c r="D14" s="5">
        <f t="shared" si="0"/>
        <v>0</v>
      </c>
      <c r="E14" s="8"/>
    </row>
    <row r="15" spans="1:5" x14ac:dyDescent="0.15">
      <c r="A15" s="3" t="s">
        <v>14</v>
      </c>
      <c r="B15" s="5">
        <f>B10+B11-B12-B13-B14</f>
        <v>5744586.7716897037</v>
      </c>
      <c r="C15" s="5">
        <f>C10+C11-C12-C13-C14</f>
        <v>3337938.5853156713</v>
      </c>
      <c r="D15" s="5">
        <f t="shared" si="0"/>
        <v>9082525.3570053745</v>
      </c>
      <c r="E15" s="8"/>
    </row>
    <row r="16" spans="1:5" x14ac:dyDescent="0.15">
      <c r="A16" s="3" t="s">
        <v>15</v>
      </c>
      <c r="B16" s="4">
        <v>0</v>
      </c>
      <c r="C16" s="4">
        <v>0</v>
      </c>
      <c r="D16" s="5">
        <f t="shared" si="0"/>
        <v>0</v>
      </c>
      <c r="E16" s="8"/>
    </row>
    <row r="17" spans="1:5" x14ac:dyDescent="0.15">
      <c r="A17" s="3" t="s">
        <v>16</v>
      </c>
      <c r="B17" s="4">
        <v>170532</v>
      </c>
      <c r="C17" s="4">
        <v>67393.589494043554</v>
      </c>
      <c r="D17" s="5">
        <f t="shared" si="0"/>
        <v>237925.58949404355</v>
      </c>
      <c r="E17" s="8"/>
    </row>
    <row r="18" spans="1:5" x14ac:dyDescent="0.15">
      <c r="A18" s="3" t="s">
        <v>17</v>
      </c>
      <c r="B18" s="4">
        <v>260536</v>
      </c>
      <c r="C18" s="4">
        <v>102962.82358982555</v>
      </c>
      <c r="D18" s="5">
        <f t="shared" si="0"/>
        <v>363498.82358982554</v>
      </c>
      <c r="E18" s="8"/>
    </row>
    <row r="19" spans="1:5" x14ac:dyDescent="0.15">
      <c r="A19" s="3" t="s">
        <v>18</v>
      </c>
      <c r="B19" s="5">
        <f>B15+B16+B17-B18</f>
        <v>5654582.7716897037</v>
      </c>
      <c r="C19" s="5">
        <f>C15+C16+C17-C18</f>
        <v>3302369.3512198892</v>
      </c>
      <c r="D19" s="5">
        <f t="shared" si="0"/>
        <v>8956952.1229095925</v>
      </c>
      <c r="E19" s="8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pane xSplit="1" ySplit="1" topLeftCell="B2" activePane="bottomRight" state="frozen"/>
      <selection activeCell="G19" sqref="G19"/>
      <selection pane="topRight" activeCell="G19" sqref="G19"/>
      <selection pane="bottomLeft" activeCell="G19" sqref="G19"/>
      <selection pane="bottomRight" activeCell="C24" sqref="C24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  <col min="5" max="5" width="23.44140625" customWidth="1"/>
  </cols>
  <sheetData>
    <row r="1" spans="1:5" x14ac:dyDescent="0.15">
      <c r="A1" s="1" t="s">
        <v>0</v>
      </c>
      <c r="B1" s="2" t="s">
        <v>40</v>
      </c>
      <c r="C1" s="2" t="s">
        <v>38</v>
      </c>
      <c r="D1" s="2" t="s">
        <v>39</v>
      </c>
      <c r="E1" s="7" t="s">
        <v>41</v>
      </c>
    </row>
    <row r="2" spans="1:5" x14ac:dyDescent="0.15">
      <c r="A2" s="3" t="s">
        <v>19</v>
      </c>
      <c r="B2" s="4">
        <v>4648388.1907218583</v>
      </c>
      <c r="C2" s="4">
        <v>2558800.2679779646</v>
      </c>
      <c r="D2" s="5">
        <f>SUM(B2:C2)</f>
        <v>7207188.4586998224</v>
      </c>
      <c r="E2" s="8"/>
    </row>
    <row r="3" spans="1:5" x14ac:dyDescent="0.15">
      <c r="A3" s="3" t="s">
        <v>20</v>
      </c>
      <c r="B3" s="4">
        <v>356488.99241513957</v>
      </c>
      <c r="C3" s="4">
        <v>196236.65061875968</v>
      </c>
      <c r="D3" s="5">
        <f t="shared" ref="D3:D19" si="0">SUM(B3:C3)</f>
        <v>552725.64303389925</v>
      </c>
      <c r="E3" s="8"/>
    </row>
    <row r="4" spans="1:5" x14ac:dyDescent="0.15">
      <c r="A4" s="3" t="s">
        <v>21</v>
      </c>
      <c r="B4" s="5">
        <f>B2-B3</f>
        <v>4291899.1983067188</v>
      </c>
      <c r="C4" s="5">
        <f>C2-C3</f>
        <v>2362563.6173592051</v>
      </c>
      <c r="D4" s="5">
        <f t="shared" si="0"/>
        <v>6654462.815665924</v>
      </c>
      <c r="E4" s="8"/>
    </row>
    <row r="5" spans="1:5" x14ac:dyDescent="0.15">
      <c r="A5" s="3" t="s">
        <v>22</v>
      </c>
      <c r="B5" s="4">
        <v>1113708.2616532731</v>
      </c>
      <c r="C5" s="4">
        <v>613063.47091573779</v>
      </c>
      <c r="D5" s="5">
        <f t="shared" si="0"/>
        <v>1726771.7325690109</v>
      </c>
      <c r="E5" s="8"/>
    </row>
    <row r="6" spans="1:5" x14ac:dyDescent="0.15">
      <c r="A6" s="3" t="s">
        <v>23</v>
      </c>
      <c r="B6" s="4">
        <v>287175.79747949319</v>
      </c>
      <c r="C6" s="4">
        <v>158081.78607243218</v>
      </c>
      <c r="D6" s="5">
        <f t="shared" si="0"/>
        <v>445257.58355192537</v>
      </c>
      <c r="E6" s="8"/>
    </row>
    <row r="7" spans="1:5" x14ac:dyDescent="0.15">
      <c r="A7" s="3" t="s">
        <v>24</v>
      </c>
      <c r="B7" s="4">
        <v>165017.78077062595</v>
      </c>
      <c r="C7" s="4">
        <v>90837.409513217746</v>
      </c>
      <c r="D7" s="5">
        <f t="shared" si="0"/>
        <v>255855.19028384369</v>
      </c>
      <c r="E7" s="8"/>
    </row>
    <row r="8" spans="1:5" x14ac:dyDescent="0.15">
      <c r="A8" s="3" t="s">
        <v>25</v>
      </c>
      <c r="B8" s="5">
        <f>B4-B5-B6-B7</f>
        <v>2725997.3584033265</v>
      </c>
      <c r="C8" s="5">
        <f>C4-C5-C6-C7</f>
        <v>1500580.9508578172</v>
      </c>
      <c r="D8" s="5">
        <f t="shared" si="0"/>
        <v>4226578.3092611432</v>
      </c>
      <c r="E8" s="8"/>
    </row>
    <row r="9" spans="1:5" x14ac:dyDescent="0.15">
      <c r="A9" s="3" t="s">
        <v>26</v>
      </c>
      <c r="B9" s="4">
        <v>2471.3966588539156</v>
      </c>
      <c r="C9" s="4">
        <v>1360.4307931031913</v>
      </c>
      <c r="D9" s="5">
        <f t="shared" si="0"/>
        <v>3831.8274519571069</v>
      </c>
      <c r="E9" s="8"/>
    </row>
    <row r="10" spans="1:5" x14ac:dyDescent="0.15">
      <c r="A10" s="3" t="s">
        <v>27</v>
      </c>
      <c r="B10" s="5">
        <f>B8+B9</f>
        <v>2728468.7550621806</v>
      </c>
      <c r="C10" s="5">
        <f>C8+C9</f>
        <v>1501941.3816509205</v>
      </c>
      <c r="D10" s="5">
        <f t="shared" si="0"/>
        <v>4230410.1367131006</v>
      </c>
      <c r="E10" s="8"/>
    </row>
    <row r="11" spans="1:5" x14ac:dyDescent="0.15">
      <c r="A11" s="3" t="s">
        <v>28</v>
      </c>
      <c r="B11" s="4">
        <v>232953.84906357006</v>
      </c>
      <c r="C11" s="4">
        <v>224342.8829259341</v>
      </c>
      <c r="D11" s="5">
        <f t="shared" si="0"/>
        <v>457296.73198950419</v>
      </c>
      <c r="E11" s="8"/>
    </row>
    <row r="12" spans="1:5" x14ac:dyDescent="0.15">
      <c r="A12" s="3" t="s">
        <v>29</v>
      </c>
      <c r="B12" s="4">
        <v>118235.07611489372</v>
      </c>
      <c r="C12" s="4">
        <v>113864.60427766586</v>
      </c>
      <c r="D12" s="5">
        <f t="shared" si="0"/>
        <v>232099.68039255956</v>
      </c>
      <c r="E12" s="8"/>
    </row>
    <row r="13" spans="1:5" x14ac:dyDescent="0.15">
      <c r="A13" s="3" t="s">
        <v>30</v>
      </c>
      <c r="B13" s="4">
        <v>3757.0172007897222</v>
      </c>
      <c r="C13" s="4">
        <v>3618.1418483344478</v>
      </c>
      <c r="D13" s="5">
        <f t="shared" si="0"/>
        <v>7375.1590491241695</v>
      </c>
      <c r="E13" s="8"/>
    </row>
    <row r="14" spans="1:5" x14ac:dyDescent="0.15">
      <c r="A14" s="3" t="s">
        <v>31</v>
      </c>
      <c r="B14" s="4">
        <v>0</v>
      </c>
      <c r="C14" s="4">
        <v>0</v>
      </c>
      <c r="D14" s="5">
        <f t="shared" si="0"/>
        <v>0</v>
      </c>
      <c r="E14" s="8"/>
    </row>
    <row r="15" spans="1:5" x14ac:dyDescent="0.15">
      <c r="A15" s="3" t="s">
        <v>32</v>
      </c>
      <c r="B15" s="5">
        <f>B10+B11-B12-B13-B14</f>
        <v>2839430.5108100669</v>
      </c>
      <c r="C15" s="5">
        <f>C10+C11-C12-C13-C14</f>
        <v>1608801.5184508543</v>
      </c>
      <c r="D15" s="5">
        <f t="shared" si="0"/>
        <v>4448232.0292609213</v>
      </c>
      <c r="E15" s="8"/>
    </row>
    <row r="16" spans="1:5" x14ac:dyDescent="0.15">
      <c r="A16" s="3" t="s">
        <v>33</v>
      </c>
      <c r="B16" s="4">
        <v>0</v>
      </c>
      <c r="C16" s="4">
        <v>0</v>
      </c>
      <c r="D16" s="5">
        <f t="shared" si="0"/>
        <v>0</v>
      </c>
      <c r="E16" s="8"/>
    </row>
    <row r="17" spans="1:5" x14ac:dyDescent="0.15">
      <c r="A17" s="3" t="s">
        <v>34</v>
      </c>
      <c r="B17" s="4">
        <v>84290.443005535184</v>
      </c>
      <c r="C17" s="4">
        <v>81174.709338267348</v>
      </c>
      <c r="D17" s="5">
        <f t="shared" si="0"/>
        <v>165465.15234380253</v>
      </c>
      <c r="E17" s="8"/>
    </row>
    <row r="18" spans="1:5" x14ac:dyDescent="0.15">
      <c r="A18" s="3" t="s">
        <v>35</v>
      </c>
      <c r="B18" s="4">
        <v>128777.55998223275</v>
      </c>
      <c r="C18" s="4">
        <v>124017.39305323822</v>
      </c>
      <c r="D18" s="5">
        <f t="shared" si="0"/>
        <v>252794.95303547097</v>
      </c>
      <c r="E18" s="8"/>
    </row>
    <row r="19" spans="1:5" x14ac:dyDescent="0.15">
      <c r="A19" s="3" t="s">
        <v>36</v>
      </c>
      <c r="B19" s="5">
        <f>B15+B16+B17-B18</f>
        <v>2794943.3938333695</v>
      </c>
      <c r="C19" s="5">
        <f>C15+C16+C17-C18</f>
        <v>1565958.8347358834</v>
      </c>
      <c r="D19" s="5">
        <f t="shared" si="0"/>
        <v>4360902.2285692524</v>
      </c>
      <c r="E19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>
      <pane xSplit="1" ySplit="1" topLeftCell="B2" activePane="bottomRight" state="frozen"/>
      <selection activeCell="G19" sqref="G19"/>
      <selection pane="topRight" activeCell="G19" sqref="G19"/>
      <selection pane="bottomLeft" activeCell="G19" sqref="G19"/>
      <selection pane="bottomRight" activeCell="G19" sqref="G19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  <col min="5" max="5" width="23.44140625" customWidth="1"/>
  </cols>
  <sheetData>
    <row r="1" spans="1:5" x14ac:dyDescent="0.15">
      <c r="A1" s="1" t="s">
        <v>0</v>
      </c>
      <c r="B1" s="2" t="s">
        <v>40</v>
      </c>
      <c r="C1" s="2" t="s">
        <v>38</v>
      </c>
      <c r="D1" s="2" t="s">
        <v>39</v>
      </c>
      <c r="E1" s="7" t="s">
        <v>41</v>
      </c>
    </row>
    <row r="2" spans="1:5" x14ac:dyDescent="0.15">
      <c r="A2" s="3" t="s">
        <v>19</v>
      </c>
      <c r="B2" s="4">
        <v>8064914.2250369359</v>
      </c>
      <c r="C2" s="4">
        <v>3120799.2119540041</v>
      </c>
      <c r="D2" s="5">
        <f>SUM(B2:C2)</f>
        <v>11185713.436990939</v>
      </c>
      <c r="E2" s="8"/>
    </row>
    <row r="3" spans="1:5" x14ac:dyDescent="0.15">
      <c r="A3" s="3" t="s">
        <v>20</v>
      </c>
      <c r="B3" s="4">
        <v>618505.38897257415</v>
      </c>
      <c r="C3" s="4">
        <v>239336.84558016164</v>
      </c>
      <c r="D3" s="5">
        <f t="shared" ref="D3:D19" si="0">SUM(B3:C3)</f>
        <v>857842.23455273581</v>
      </c>
      <c r="E3" s="8"/>
    </row>
    <row r="4" spans="1:5" x14ac:dyDescent="0.15">
      <c r="A4" s="3" t="s">
        <v>21</v>
      </c>
      <c r="B4" s="5">
        <f>B2-B3</f>
        <v>7446408.836064362</v>
      </c>
      <c r="C4" s="5">
        <f>C2-C3</f>
        <v>2881462.3663738426</v>
      </c>
      <c r="D4" s="5">
        <f t="shared" si="0"/>
        <v>10327871.202438205</v>
      </c>
      <c r="E4" s="8"/>
    </row>
    <row r="5" spans="1:5" x14ac:dyDescent="0.15">
      <c r="A5" s="3" t="s">
        <v>22</v>
      </c>
      <c r="B5" s="4">
        <v>1932274.4214600143</v>
      </c>
      <c r="C5" s="4">
        <v>747712.9109508507</v>
      </c>
      <c r="D5" s="5">
        <f t="shared" si="0"/>
        <v>2679987.332410865</v>
      </c>
      <c r="E5" s="8"/>
    </row>
    <row r="6" spans="1:5" x14ac:dyDescent="0.15">
      <c r="A6" s="3" t="s">
        <v>23</v>
      </c>
      <c r="B6" s="4">
        <v>498247.58155988407</v>
      </c>
      <c r="C6" s="4">
        <v>192801.88437254619</v>
      </c>
      <c r="D6" s="5">
        <f t="shared" si="0"/>
        <v>691049.46593243023</v>
      </c>
      <c r="E6" s="8"/>
    </row>
    <row r="7" spans="1:5" x14ac:dyDescent="0.15">
      <c r="A7" s="3" t="s">
        <v>24</v>
      </c>
      <c r="B7" s="4">
        <v>286304.45498881117</v>
      </c>
      <c r="C7" s="4">
        <v>110788.37202436713</v>
      </c>
      <c r="D7" s="5">
        <f t="shared" si="0"/>
        <v>397092.82701317826</v>
      </c>
      <c r="E7" s="8"/>
    </row>
    <row r="8" spans="1:5" x14ac:dyDescent="0.15">
      <c r="A8" s="3" t="s">
        <v>25</v>
      </c>
      <c r="B8" s="5">
        <f>B4-B5-B6-B7</f>
        <v>4729582.3780556517</v>
      </c>
      <c r="C8" s="5">
        <f>C4-C5-C6-C7</f>
        <v>1830159.1990260787</v>
      </c>
      <c r="D8" s="5">
        <f t="shared" si="0"/>
        <v>6559741.5770817306</v>
      </c>
      <c r="E8" s="8"/>
    </row>
    <row r="9" spans="1:5" x14ac:dyDescent="0.15">
      <c r="A9" s="3" t="s">
        <v>26</v>
      </c>
      <c r="B9" s="4">
        <v>4287.8523160959321</v>
      </c>
      <c r="C9" s="4">
        <v>1659.2273340620743</v>
      </c>
      <c r="D9" s="5">
        <f t="shared" si="0"/>
        <v>5947.0796501580062</v>
      </c>
      <c r="E9" s="8"/>
    </row>
    <row r="10" spans="1:5" x14ac:dyDescent="0.15">
      <c r="A10" s="3" t="s">
        <v>27</v>
      </c>
      <c r="B10" s="5">
        <f>B8+B9</f>
        <v>4733870.2303717472</v>
      </c>
      <c r="C10" s="5">
        <f>C8+C9</f>
        <v>1831818.4263601408</v>
      </c>
      <c r="D10" s="5">
        <f t="shared" si="0"/>
        <v>6565688.6567318877</v>
      </c>
      <c r="E10" s="8"/>
    </row>
    <row r="11" spans="1:5" x14ac:dyDescent="0.15">
      <c r="A11" s="3" t="s">
        <v>28</v>
      </c>
      <c r="B11" s="4">
        <v>404172.95931520255</v>
      </c>
      <c r="C11" s="4">
        <v>116319.50008786975</v>
      </c>
      <c r="D11" s="5">
        <f t="shared" si="0"/>
        <v>520492.45940307231</v>
      </c>
      <c r="E11" s="8"/>
    </row>
    <row r="12" spans="1:5" x14ac:dyDescent="0.15">
      <c r="A12" s="3" t="s">
        <v>29</v>
      </c>
      <c r="B12" s="4">
        <v>205136.85779527191</v>
      </c>
      <c r="C12" s="4">
        <v>59037.63772017623</v>
      </c>
      <c r="D12" s="5">
        <f t="shared" si="0"/>
        <v>264174.49551544816</v>
      </c>
      <c r="E12" s="8"/>
    </row>
    <row r="13" spans="1:5" x14ac:dyDescent="0.15">
      <c r="A13" s="3" t="s">
        <v>30</v>
      </c>
      <c r="B13" s="4">
        <v>6518.3930909290357</v>
      </c>
      <c r="C13" s="4">
        <v>1875.9697011837427</v>
      </c>
      <c r="D13" s="5">
        <f t="shared" si="0"/>
        <v>8394.3627921127791</v>
      </c>
      <c r="E13" s="8"/>
    </row>
    <row r="14" spans="1:5" x14ac:dyDescent="0.15">
      <c r="A14" s="3" t="s">
        <v>31</v>
      </c>
      <c r="B14" s="4">
        <v>0</v>
      </c>
      <c r="C14" s="4">
        <v>0</v>
      </c>
      <c r="D14" s="5">
        <f t="shared" si="0"/>
        <v>0</v>
      </c>
      <c r="E14" s="8"/>
    </row>
    <row r="15" spans="1:5" x14ac:dyDescent="0.15">
      <c r="A15" s="3" t="s">
        <v>32</v>
      </c>
      <c r="B15" s="5">
        <f>B10+B11-B12-B13-B14</f>
        <v>4926387.9388007484</v>
      </c>
      <c r="C15" s="5">
        <f>C10+C11-C12-C13-C14</f>
        <v>1887224.3190266506</v>
      </c>
      <c r="D15" s="5">
        <f t="shared" si="0"/>
        <v>6813612.2578273993</v>
      </c>
      <c r="E15" s="8"/>
    </row>
    <row r="16" spans="1:5" x14ac:dyDescent="0.15">
      <c r="A16" s="3" t="s">
        <v>33</v>
      </c>
      <c r="B16" s="4">
        <v>0</v>
      </c>
      <c r="C16" s="4">
        <v>0</v>
      </c>
      <c r="D16" s="5">
        <f t="shared" si="0"/>
        <v>0</v>
      </c>
      <c r="E16" s="8"/>
    </row>
    <row r="17" spans="1:5" x14ac:dyDescent="0.15">
      <c r="A17" s="3" t="s">
        <v>34</v>
      </c>
      <c r="B17" s="4">
        <v>146243.20623369431</v>
      </c>
      <c r="C17" s="4">
        <v>42088.260108178671</v>
      </c>
      <c r="D17" s="5">
        <f t="shared" si="0"/>
        <v>188331.46634187299</v>
      </c>
      <c r="E17" s="8"/>
    </row>
    <row r="18" spans="1:5" x14ac:dyDescent="0.15">
      <c r="A18" s="3" t="s">
        <v>35</v>
      </c>
      <c r="B18" s="4">
        <v>223427.97820527395</v>
      </c>
      <c r="C18" s="4">
        <v>64301.755304250444</v>
      </c>
      <c r="D18" s="5">
        <f t="shared" si="0"/>
        <v>287729.73350952438</v>
      </c>
      <c r="E18" s="8"/>
    </row>
    <row r="19" spans="1:5" x14ac:dyDescent="0.15">
      <c r="A19" s="3" t="s">
        <v>36</v>
      </c>
      <c r="B19" s="5">
        <f>B15+B16+B17-B18</f>
        <v>4849203.1668291688</v>
      </c>
      <c r="C19" s="5">
        <f>C15+C16+C17-C18</f>
        <v>1865010.8238305789</v>
      </c>
      <c r="D19" s="5">
        <f t="shared" si="0"/>
        <v>6714213.9906597473</v>
      </c>
      <c r="E19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9"/>
  <sheetViews>
    <sheetView workbookViewId="0">
      <pane xSplit="1" ySplit="1" topLeftCell="B2" activePane="bottomRight" state="frozen"/>
      <selection activeCell="G19" sqref="G19"/>
      <selection pane="topRight" activeCell="G19" sqref="G19"/>
      <selection pane="bottomLeft" activeCell="G19" sqref="G19"/>
      <selection pane="bottomRight" activeCell="C23" sqref="C23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  <col min="5" max="5" width="23.44140625" customWidth="1"/>
  </cols>
  <sheetData>
    <row r="1" spans="1:5" x14ac:dyDescent="0.15">
      <c r="A1" s="1" t="s">
        <v>0</v>
      </c>
      <c r="B1" s="2" t="s">
        <v>40</v>
      </c>
      <c r="C1" s="2" t="s">
        <v>38</v>
      </c>
      <c r="D1" s="2" t="s">
        <v>39</v>
      </c>
      <c r="E1" s="7" t="s">
        <v>41</v>
      </c>
    </row>
    <row r="2" spans="1:5" x14ac:dyDescent="0.15">
      <c r="A2" s="3" t="s">
        <v>1</v>
      </c>
      <c r="B2" s="4">
        <v>8064914.2250369359</v>
      </c>
      <c r="C2" s="4">
        <v>3120799.2119540041</v>
      </c>
      <c r="D2" s="5">
        <f>SUM(B2:C2)</f>
        <v>11185713.436990939</v>
      </c>
      <c r="E2" s="8"/>
    </row>
    <row r="3" spans="1:5" x14ac:dyDescent="0.15">
      <c r="A3" s="3" t="s">
        <v>20</v>
      </c>
      <c r="B3" s="4">
        <v>618505.38897257415</v>
      </c>
      <c r="C3" s="4">
        <v>239336.84558016164</v>
      </c>
      <c r="D3" s="5">
        <f t="shared" ref="D3:D19" si="0">SUM(B3:C3)</f>
        <v>857842.23455273581</v>
      </c>
      <c r="E3" s="8"/>
    </row>
    <row r="4" spans="1:5" x14ac:dyDescent="0.15">
      <c r="A4" s="3" t="s">
        <v>3</v>
      </c>
      <c r="B4" s="5">
        <f>B2-B3</f>
        <v>7446408.836064362</v>
      </c>
      <c r="C4" s="5">
        <f>C2-C3</f>
        <v>2881462.3663738426</v>
      </c>
      <c r="D4" s="5">
        <f t="shared" si="0"/>
        <v>10327871.202438205</v>
      </c>
      <c r="E4" s="8"/>
    </row>
    <row r="5" spans="1:5" x14ac:dyDescent="0.15">
      <c r="A5" s="3" t="s">
        <v>4</v>
      </c>
      <c r="B5" s="4">
        <v>1932274.4214600143</v>
      </c>
      <c r="C5" s="4">
        <v>747712.9109508507</v>
      </c>
      <c r="D5" s="5">
        <f t="shared" si="0"/>
        <v>2679987.332410865</v>
      </c>
      <c r="E5" s="8"/>
    </row>
    <row r="6" spans="1:5" x14ac:dyDescent="0.15">
      <c r="A6" s="3" t="s">
        <v>5</v>
      </c>
      <c r="B6" s="4">
        <v>498247.58155988407</v>
      </c>
      <c r="C6" s="4">
        <v>192801.88437254619</v>
      </c>
      <c r="D6" s="5">
        <f t="shared" si="0"/>
        <v>691049.46593243023</v>
      </c>
      <c r="E6" s="8"/>
    </row>
    <row r="7" spans="1:5" x14ac:dyDescent="0.15">
      <c r="A7" s="3" t="s">
        <v>24</v>
      </c>
      <c r="B7" s="4">
        <v>286304.45498881117</v>
      </c>
      <c r="C7" s="4">
        <v>110788.37202436713</v>
      </c>
      <c r="D7" s="5">
        <f t="shared" si="0"/>
        <v>397092.82701317826</v>
      </c>
      <c r="E7" s="8"/>
    </row>
    <row r="8" spans="1:5" x14ac:dyDescent="0.15">
      <c r="A8" s="3" t="s">
        <v>7</v>
      </c>
      <c r="B8" s="5">
        <f>B4-B5-B6-B7</f>
        <v>4729582.3780556517</v>
      </c>
      <c r="C8" s="5">
        <f>C4-C5-C6-C7</f>
        <v>1830159.1990260787</v>
      </c>
      <c r="D8" s="5">
        <f t="shared" si="0"/>
        <v>6559741.5770817306</v>
      </c>
      <c r="E8" s="8"/>
    </row>
    <row r="9" spans="1:5" x14ac:dyDescent="0.15">
      <c r="A9" s="3" t="s">
        <v>26</v>
      </c>
      <c r="B9" s="4">
        <v>4287.8523160959321</v>
      </c>
      <c r="C9" s="4">
        <v>1659.2273340620743</v>
      </c>
      <c r="D9" s="5">
        <f t="shared" si="0"/>
        <v>5947.0796501580062</v>
      </c>
      <c r="E9" s="8"/>
    </row>
    <row r="10" spans="1:5" x14ac:dyDescent="0.15">
      <c r="A10" s="3" t="s">
        <v>9</v>
      </c>
      <c r="B10" s="5">
        <f>B8+B9</f>
        <v>4733870.2303717472</v>
      </c>
      <c r="C10" s="5">
        <f>C8+C9</f>
        <v>1831818.4263601408</v>
      </c>
      <c r="D10" s="5">
        <f t="shared" si="0"/>
        <v>6565688.6567318877</v>
      </c>
      <c r="E10" s="8"/>
    </row>
    <row r="11" spans="1:5" x14ac:dyDescent="0.15">
      <c r="A11" s="3" t="s">
        <v>28</v>
      </c>
      <c r="B11" s="4">
        <v>404172.95931520255</v>
      </c>
      <c r="C11" s="4">
        <v>116319.50008786975</v>
      </c>
      <c r="D11" s="5">
        <f t="shared" si="0"/>
        <v>520492.45940307231</v>
      </c>
      <c r="E11" s="8"/>
    </row>
    <row r="12" spans="1:5" x14ac:dyDescent="0.15">
      <c r="A12" s="3" t="s">
        <v>11</v>
      </c>
      <c r="B12" s="4">
        <v>205136.85779527191</v>
      </c>
      <c r="C12" s="4">
        <v>59037.63772017623</v>
      </c>
      <c r="D12" s="5">
        <f t="shared" si="0"/>
        <v>264174.49551544816</v>
      </c>
      <c r="E12" s="8"/>
    </row>
    <row r="13" spans="1:5" x14ac:dyDescent="0.15">
      <c r="A13" s="3" t="s">
        <v>30</v>
      </c>
      <c r="B13" s="4">
        <v>6518.3930909290357</v>
      </c>
      <c r="C13" s="4">
        <v>1875.9697011837427</v>
      </c>
      <c r="D13" s="5">
        <f t="shared" si="0"/>
        <v>8394.3627921127791</v>
      </c>
      <c r="E13" s="8"/>
    </row>
    <row r="14" spans="1:5" x14ac:dyDescent="0.15">
      <c r="A14" s="3" t="s">
        <v>31</v>
      </c>
      <c r="B14" s="4">
        <v>0</v>
      </c>
      <c r="C14" s="4">
        <v>0</v>
      </c>
      <c r="D14" s="5">
        <f t="shared" si="0"/>
        <v>0</v>
      </c>
      <c r="E14" s="8"/>
    </row>
    <row r="15" spans="1:5" x14ac:dyDescent="0.15">
      <c r="A15" s="3" t="s">
        <v>32</v>
      </c>
      <c r="B15" s="5">
        <f>B10+B11-B12-B13-B14</f>
        <v>4926387.9388007484</v>
      </c>
      <c r="C15" s="5">
        <f>C10+C11-C12-C13-C14</f>
        <v>1887224.3190266506</v>
      </c>
      <c r="D15" s="5">
        <f t="shared" si="0"/>
        <v>6813612.2578273993</v>
      </c>
      <c r="E15" s="8"/>
    </row>
    <row r="16" spans="1:5" x14ac:dyDescent="0.15">
      <c r="A16" s="3" t="s">
        <v>33</v>
      </c>
      <c r="B16" s="4">
        <v>0</v>
      </c>
      <c r="C16" s="4">
        <v>0</v>
      </c>
      <c r="D16" s="5">
        <f t="shared" si="0"/>
        <v>0</v>
      </c>
      <c r="E16" s="8"/>
    </row>
    <row r="17" spans="1:5" x14ac:dyDescent="0.15">
      <c r="A17" s="3" t="s">
        <v>34</v>
      </c>
      <c r="B17" s="4">
        <v>146243.20623369431</v>
      </c>
      <c r="C17" s="4">
        <v>42088.260108178671</v>
      </c>
      <c r="D17" s="5">
        <f t="shared" si="0"/>
        <v>188331.46634187299</v>
      </c>
      <c r="E17" s="8"/>
    </row>
    <row r="18" spans="1:5" x14ac:dyDescent="0.15">
      <c r="A18" s="3" t="s">
        <v>35</v>
      </c>
      <c r="B18" s="4">
        <v>223427.97820527395</v>
      </c>
      <c r="C18" s="4">
        <v>64301.755304250444</v>
      </c>
      <c r="D18" s="5">
        <f t="shared" si="0"/>
        <v>287729.73350952438</v>
      </c>
      <c r="E18" s="8"/>
    </row>
    <row r="19" spans="1:5" x14ac:dyDescent="0.15">
      <c r="A19" s="3" t="s">
        <v>36</v>
      </c>
      <c r="B19" s="5">
        <f>B15+B16+B17-B18</f>
        <v>4849203.1668291688</v>
      </c>
      <c r="C19" s="5">
        <f>C15+C16+C17-C18</f>
        <v>1865010.8238305789</v>
      </c>
      <c r="D19" s="5">
        <f t="shared" si="0"/>
        <v>6714213.9906597473</v>
      </c>
      <c r="E19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zoomScaleNormal="100" workbookViewId="0">
      <pane xSplit="1" ySplit="1" topLeftCell="B2" activePane="bottomRight" state="frozen"/>
      <selection activeCell="G19" sqref="G19"/>
      <selection pane="topRight" activeCell="G19" sqref="G19"/>
      <selection pane="bottomLeft" activeCell="G19" sqref="G19"/>
      <selection pane="bottomRight" activeCell="D25" sqref="D25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  <col min="5" max="5" width="27.109375" customWidth="1"/>
  </cols>
  <sheetData>
    <row r="1" spans="1:5" x14ac:dyDescent="0.15">
      <c r="A1" s="1" t="s">
        <v>0</v>
      </c>
      <c r="B1" s="2" t="s">
        <v>40</v>
      </c>
      <c r="C1" s="2" t="s">
        <v>38</v>
      </c>
      <c r="D1" s="6" t="s">
        <v>39</v>
      </c>
      <c r="E1" s="7" t="s">
        <v>41</v>
      </c>
    </row>
    <row r="2" spans="1:5" x14ac:dyDescent="0.15">
      <c r="A2" s="3" t="s">
        <v>1</v>
      </c>
      <c r="B2" s="4">
        <v>8064914.2250369359</v>
      </c>
      <c r="C2" s="4">
        <v>3120799.2119540041</v>
      </c>
      <c r="D2" s="5">
        <f>SUM(B2:C2)</f>
        <v>11185713.436990939</v>
      </c>
      <c r="E2" s="8"/>
    </row>
    <row r="3" spans="1:5" x14ac:dyDescent="0.15">
      <c r="A3" s="3" t="s">
        <v>20</v>
      </c>
      <c r="B3" s="4">
        <v>618505.38897257415</v>
      </c>
      <c r="C3" s="4">
        <v>239336.84558016164</v>
      </c>
      <c r="D3" s="5">
        <f t="shared" ref="D3:D19" si="0">SUM(B3:C3)</f>
        <v>857842.23455273581</v>
      </c>
      <c r="E3" s="8"/>
    </row>
    <row r="4" spans="1:5" x14ac:dyDescent="0.15">
      <c r="A4" s="3" t="s">
        <v>3</v>
      </c>
      <c r="B4" s="5">
        <f>B2-B3</f>
        <v>7446408.836064362</v>
      </c>
      <c r="C4" s="5">
        <f>C2-C3</f>
        <v>2881462.3663738426</v>
      </c>
      <c r="D4" s="5">
        <f t="shared" si="0"/>
        <v>10327871.202438205</v>
      </c>
      <c r="E4" s="8"/>
    </row>
    <row r="5" spans="1:5" x14ac:dyDescent="0.15">
      <c r="A5" s="3" t="s">
        <v>4</v>
      </c>
      <c r="B5" s="4">
        <v>1932274.4214600143</v>
      </c>
      <c r="C5" s="4">
        <v>747712.9109508507</v>
      </c>
      <c r="D5" s="5">
        <f t="shared" si="0"/>
        <v>2679987.332410865</v>
      </c>
      <c r="E5" s="8"/>
    </row>
    <row r="6" spans="1:5" x14ac:dyDescent="0.15">
      <c r="A6" s="3" t="s">
        <v>5</v>
      </c>
      <c r="B6" s="4">
        <v>498247.58155988407</v>
      </c>
      <c r="C6" s="4">
        <v>192801.88437254619</v>
      </c>
      <c r="D6" s="5">
        <f t="shared" si="0"/>
        <v>691049.46593243023</v>
      </c>
      <c r="E6" s="8"/>
    </row>
    <row r="7" spans="1:5" x14ac:dyDescent="0.15">
      <c r="A7" s="3" t="s">
        <v>24</v>
      </c>
      <c r="B7" s="4">
        <v>286304.45498881117</v>
      </c>
      <c r="C7" s="4">
        <v>110788.37202436713</v>
      </c>
      <c r="D7" s="5">
        <f t="shared" si="0"/>
        <v>397092.82701317826</v>
      </c>
      <c r="E7" s="8"/>
    </row>
    <row r="8" spans="1:5" x14ac:dyDescent="0.15">
      <c r="A8" s="3" t="s">
        <v>7</v>
      </c>
      <c r="B8" s="5">
        <f>B4-B5-B6-B7</f>
        <v>4729582.3780556517</v>
      </c>
      <c r="C8" s="5">
        <f>C4-C5-C6-C7</f>
        <v>1830159.1990260787</v>
      </c>
      <c r="D8" s="5">
        <f t="shared" si="0"/>
        <v>6559741.5770817306</v>
      </c>
      <c r="E8" s="8"/>
    </row>
    <row r="9" spans="1:5" x14ac:dyDescent="0.15">
      <c r="A9" s="3" t="s">
        <v>26</v>
      </c>
      <c r="B9" s="4">
        <v>4287.8523160959321</v>
      </c>
      <c r="C9" s="4">
        <v>1659.2273340620743</v>
      </c>
      <c r="D9" s="5">
        <f t="shared" si="0"/>
        <v>5947.0796501580062</v>
      </c>
      <c r="E9" s="8"/>
    </row>
    <row r="10" spans="1:5" x14ac:dyDescent="0.15">
      <c r="A10" s="3" t="s">
        <v>9</v>
      </c>
      <c r="B10" s="5">
        <f>B8+B9</f>
        <v>4733870.2303717472</v>
      </c>
      <c r="C10" s="5">
        <f>C8+C9</f>
        <v>1831818.4263601408</v>
      </c>
      <c r="D10" s="5">
        <f t="shared" si="0"/>
        <v>6565688.6567318877</v>
      </c>
      <c r="E10" s="8"/>
    </row>
    <row r="11" spans="1:5" x14ac:dyDescent="0.15">
      <c r="A11" s="3" t="s">
        <v>28</v>
      </c>
      <c r="B11" s="4">
        <v>404172.95931520255</v>
      </c>
      <c r="C11" s="4">
        <v>116319.50008786975</v>
      </c>
      <c r="D11" s="5">
        <f t="shared" si="0"/>
        <v>520492.45940307231</v>
      </c>
      <c r="E11" s="8"/>
    </row>
    <row r="12" spans="1:5" x14ac:dyDescent="0.15">
      <c r="A12" s="3" t="s">
        <v>11</v>
      </c>
      <c r="B12" s="4">
        <v>205136.85779527191</v>
      </c>
      <c r="C12" s="4">
        <v>59037.63772017623</v>
      </c>
      <c r="D12" s="5">
        <f t="shared" si="0"/>
        <v>264174.49551544816</v>
      </c>
      <c r="E12" s="8"/>
    </row>
    <row r="13" spans="1:5" x14ac:dyDescent="0.15">
      <c r="A13" s="3" t="s">
        <v>30</v>
      </c>
      <c r="B13" s="4">
        <v>6518.3930909290357</v>
      </c>
      <c r="C13" s="4">
        <v>1875.9697011837427</v>
      </c>
      <c r="D13" s="5">
        <f t="shared" si="0"/>
        <v>8394.3627921127791</v>
      </c>
      <c r="E13" s="8"/>
    </row>
    <row r="14" spans="1:5" x14ac:dyDescent="0.15">
      <c r="A14" s="3" t="s">
        <v>31</v>
      </c>
      <c r="B14" s="4">
        <v>0</v>
      </c>
      <c r="C14" s="4">
        <v>0</v>
      </c>
      <c r="D14" s="5">
        <f t="shared" si="0"/>
        <v>0</v>
      </c>
      <c r="E14" s="8"/>
    </row>
    <row r="15" spans="1:5" x14ac:dyDescent="0.15">
      <c r="A15" s="3" t="s">
        <v>32</v>
      </c>
      <c r="B15" s="5">
        <f>B10+B11-B12-B13-B14</f>
        <v>4926387.9388007484</v>
      </c>
      <c r="C15" s="5">
        <f>C10+C11-C12-C13-C14</f>
        <v>1887224.3190266506</v>
      </c>
      <c r="D15" s="5">
        <f t="shared" si="0"/>
        <v>6813612.2578273993</v>
      </c>
      <c r="E15" s="8"/>
    </row>
    <row r="16" spans="1:5" x14ac:dyDescent="0.15">
      <c r="A16" s="3" t="s">
        <v>33</v>
      </c>
      <c r="B16" s="4">
        <v>0</v>
      </c>
      <c r="C16" s="4">
        <v>0</v>
      </c>
      <c r="D16" s="5">
        <f t="shared" si="0"/>
        <v>0</v>
      </c>
      <c r="E16" s="8"/>
    </row>
    <row r="17" spans="1:5" x14ac:dyDescent="0.15">
      <c r="A17" s="3" t="s">
        <v>34</v>
      </c>
      <c r="B17" s="4">
        <v>146243.20623369431</v>
      </c>
      <c r="C17" s="4">
        <v>42088.260108178671</v>
      </c>
      <c r="D17" s="5">
        <f t="shared" si="0"/>
        <v>188331.46634187299</v>
      </c>
      <c r="E17" s="8"/>
    </row>
    <row r="18" spans="1:5" x14ac:dyDescent="0.15">
      <c r="A18" s="3" t="s">
        <v>35</v>
      </c>
      <c r="B18" s="4">
        <v>223427.97820527395</v>
      </c>
      <c r="C18" s="4">
        <v>64301.755304250444</v>
      </c>
      <c r="D18" s="5">
        <f t="shared" si="0"/>
        <v>287729.73350952438</v>
      </c>
      <c r="E18" s="8"/>
    </row>
    <row r="19" spans="1:5" x14ac:dyDescent="0.15">
      <c r="A19" s="3" t="s">
        <v>36</v>
      </c>
      <c r="B19" s="5">
        <f>B15+B16+B17-B18</f>
        <v>4849203.1668291688</v>
      </c>
      <c r="C19" s="5">
        <f>C15+C16+C17-C18</f>
        <v>1865010.8238305789</v>
      </c>
      <c r="D19" s="5">
        <f t="shared" si="0"/>
        <v>6714213.9906597473</v>
      </c>
      <c r="E19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"/>
  <sheetViews>
    <sheetView tabSelected="1" workbookViewId="0">
      <selection activeCell="F13" sqref="F13"/>
    </sheetView>
  </sheetViews>
  <sheetFormatPr defaultRowHeight="15" x14ac:dyDescent="0.2"/>
  <cols>
    <col min="1" max="1" width="7.5546875" bestFit="1" customWidth="1"/>
    <col min="2" max="3" width="6.88671875" bestFit="1" customWidth="1"/>
    <col min="5" max="5" width="12.21875" bestFit="1" customWidth="1"/>
    <col min="6" max="6" width="25.88671875" bestFit="1" customWidth="1"/>
    <col min="7" max="7" width="6.88671875" bestFit="1" customWidth="1"/>
    <col min="8" max="8" width="5.33203125" bestFit="1" customWidth="1"/>
    <col min="9" max="9" width="7.21875" bestFit="1" customWidth="1"/>
  </cols>
  <sheetData>
    <row r="1" spans="1:9" ht="15.75" x14ac:dyDescent="0.2">
      <c r="A1" s="9" t="s">
        <v>76</v>
      </c>
      <c r="B1" s="9" t="s">
        <v>77</v>
      </c>
      <c r="C1" s="9" t="s">
        <v>78</v>
      </c>
      <c r="D1" s="9" t="s">
        <v>79</v>
      </c>
      <c r="E1" s="9" t="s">
        <v>80</v>
      </c>
      <c r="F1" s="9" t="s">
        <v>81</v>
      </c>
      <c r="G1" s="9" t="s">
        <v>82</v>
      </c>
      <c r="H1" s="9" t="s">
        <v>83</v>
      </c>
      <c r="I1" s="9" t="s">
        <v>84</v>
      </c>
    </row>
    <row r="2" spans="1:9" x14ac:dyDescent="0.2">
      <c r="A2" s="8" t="s">
        <v>42</v>
      </c>
      <c r="B2" s="8" t="s">
        <v>43</v>
      </c>
      <c r="C2" s="8" t="s">
        <v>44</v>
      </c>
      <c r="D2" s="8" t="s">
        <v>46</v>
      </c>
      <c r="E2" s="8" t="s">
        <v>47</v>
      </c>
      <c r="F2" s="10" t="s">
        <v>90</v>
      </c>
      <c r="G2" s="8" t="s">
        <v>49</v>
      </c>
      <c r="H2" s="8" t="s">
        <v>50</v>
      </c>
      <c r="I2" s="8">
        <v>230</v>
      </c>
    </row>
    <row r="3" spans="1:9" x14ac:dyDescent="0.2">
      <c r="A3" s="8" t="s">
        <v>42</v>
      </c>
      <c r="B3" s="8" t="s">
        <v>43</v>
      </c>
      <c r="C3" s="8" t="s">
        <v>45</v>
      </c>
      <c r="D3" s="8" t="s">
        <v>46</v>
      </c>
      <c r="E3" s="8" t="s">
        <v>48</v>
      </c>
      <c r="F3" s="10" t="s">
        <v>91</v>
      </c>
      <c r="G3" s="8" t="s">
        <v>51</v>
      </c>
      <c r="H3" s="8" t="s">
        <v>52</v>
      </c>
      <c r="I3" s="8">
        <v>260</v>
      </c>
    </row>
    <row r="4" spans="1:9" x14ac:dyDescent="0.2">
      <c r="A4" s="8" t="s">
        <v>42</v>
      </c>
      <c r="B4" s="8" t="s">
        <v>53</v>
      </c>
      <c r="C4" s="8" t="s">
        <v>54</v>
      </c>
      <c r="D4" s="8" t="s">
        <v>46</v>
      </c>
      <c r="E4" s="8" t="s">
        <v>55</v>
      </c>
      <c r="F4" s="8" t="s">
        <v>57</v>
      </c>
      <c r="G4" s="8" t="s">
        <v>51</v>
      </c>
      <c r="H4" s="8" t="s">
        <v>52</v>
      </c>
      <c r="I4" s="8">
        <v>200</v>
      </c>
    </row>
    <row r="5" spans="1:9" x14ac:dyDescent="0.2">
      <c r="A5" s="8" t="s">
        <v>42</v>
      </c>
      <c r="B5" s="8" t="s">
        <v>53</v>
      </c>
      <c r="C5" s="8" t="s">
        <v>54</v>
      </c>
      <c r="D5" s="8" t="s">
        <v>46</v>
      </c>
      <c r="E5" s="8" t="s">
        <v>56</v>
      </c>
      <c r="F5" s="10" t="s">
        <v>86</v>
      </c>
      <c r="G5" s="8" t="s">
        <v>49</v>
      </c>
      <c r="H5" s="8" t="s">
        <v>58</v>
      </c>
      <c r="I5" s="8">
        <v>310</v>
      </c>
    </row>
    <row r="6" spans="1:9" x14ac:dyDescent="0.2">
      <c r="A6" s="8" t="s">
        <v>59</v>
      </c>
      <c r="B6" s="8" t="s">
        <v>60</v>
      </c>
      <c r="C6" s="8" t="s">
        <v>61</v>
      </c>
      <c r="D6" s="8" t="s">
        <v>63</v>
      </c>
      <c r="E6" s="8" t="s">
        <v>65</v>
      </c>
      <c r="F6" s="8" t="s">
        <v>67</v>
      </c>
      <c r="G6" s="8" t="s">
        <v>49</v>
      </c>
      <c r="H6" s="8" t="s">
        <v>50</v>
      </c>
      <c r="I6" s="8">
        <v>300</v>
      </c>
    </row>
    <row r="7" spans="1:9" x14ac:dyDescent="0.2">
      <c r="A7" s="8" t="s">
        <v>59</v>
      </c>
      <c r="B7" s="8" t="s">
        <v>60</v>
      </c>
      <c r="C7" s="8" t="s">
        <v>62</v>
      </c>
      <c r="D7" s="8" t="s">
        <v>64</v>
      </c>
      <c r="E7" s="8" t="s">
        <v>66</v>
      </c>
      <c r="F7" s="10" t="s">
        <v>87</v>
      </c>
      <c r="G7" s="8" t="s">
        <v>68</v>
      </c>
      <c r="H7" s="8" t="s">
        <v>69</v>
      </c>
      <c r="I7" s="8">
        <v>120</v>
      </c>
    </row>
    <row r="8" spans="1:9" x14ac:dyDescent="0.2">
      <c r="A8" s="8" t="s">
        <v>70</v>
      </c>
      <c r="B8" s="10" t="s">
        <v>85</v>
      </c>
      <c r="C8" s="8" t="s">
        <v>71</v>
      </c>
      <c r="D8" s="8" t="s">
        <v>46</v>
      </c>
      <c r="E8" s="8" t="s">
        <v>74</v>
      </c>
      <c r="F8" s="10" t="s">
        <v>89</v>
      </c>
      <c r="G8" s="8" t="s">
        <v>49</v>
      </c>
      <c r="H8" s="8" t="s">
        <v>50</v>
      </c>
      <c r="I8" s="8">
        <v>80</v>
      </c>
    </row>
    <row r="9" spans="1:9" x14ac:dyDescent="0.2">
      <c r="A9" s="8" t="s">
        <v>70</v>
      </c>
      <c r="B9" s="8" t="s">
        <v>72</v>
      </c>
      <c r="C9" s="8" t="s">
        <v>73</v>
      </c>
      <c r="D9" s="8" t="s">
        <v>64</v>
      </c>
      <c r="E9" s="8" t="s">
        <v>75</v>
      </c>
      <c r="F9" s="10" t="s">
        <v>88</v>
      </c>
      <c r="G9" s="8" t="s">
        <v>68</v>
      </c>
      <c r="H9" s="8" t="s">
        <v>50</v>
      </c>
      <c r="I9" s="8">
        <v>300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5</vt:i4>
      </vt:variant>
    </vt:vector>
  </HeadingPairs>
  <TitlesOfParts>
    <vt:vector size="11" baseType="lpstr">
      <vt:lpstr>A公司</vt:lpstr>
      <vt:lpstr>B公司</vt:lpstr>
      <vt:lpstr>C公司</vt:lpstr>
      <vt:lpstr>D公司</vt:lpstr>
      <vt:lpstr>E公司</vt:lpstr>
      <vt:lpstr>客户资料</vt:lpstr>
      <vt:lpstr>A公司!Print_Area</vt:lpstr>
      <vt:lpstr>B公司!Print_Area</vt:lpstr>
      <vt:lpstr>C公司!Print_Area</vt:lpstr>
      <vt:lpstr>D公司!Print_Area</vt:lpstr>
      <vt:lpstr>E公司!Print_Area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dgxsdr</dc:creator>
  <cp:lastModifiedBy>james.li</cp:lastModifiedBy>
  <cp:lastPrinted>2013-10-28T02:12:52Z</cp:lastPrinted>
  <dcterms:created xsi:type="dcterms:W3CDTF">2013-08-25T02:17:10Z</dcterms:created>
  <dcterms:modified xsi:type="dcterms:W3CDTF">2013-10-28T02:24:21Z</dcterms:modified>
</cp:coreProperties>
</file>