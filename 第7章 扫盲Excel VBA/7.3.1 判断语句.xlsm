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4235" windowHeight="7620" activeTab="1"/>
  </bookViews>
  <sheets>
    <sheet name="IF判断" sheetId="1" r:id="rId1"/>
    <sheet name="个人所得税" sheetId="2" r:id="rId2"/>
  </sheets>
  <functionGroups builtInGroupCount="17"/>
  <externalReferences>
    <externalReference r:id="rId3"/>
  </externalReferences>
  <definedNames>
    <definedName name="税率">[1]税率表!$B$2:$D$8</definedName>
  </definedNames>
  <calcPr calcId="145621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2" i="2"/>
  <c r="H2" i="2"/>
  <c r="H6" i="2"/>
  <c r="H10" i="2"/>
  <c r="H4" i="2"/>
  <c r="H7" i="2"/>
  <c r="H8" i="2"/>
  <c r="H9" i="2"/>
  <c r="H5" i="2"/>
  <c r="H3" i="2"/>
  <c r="D21" i="1" l="1"/>
  <c r="D20" i="1"/>
  <c r="D19" i="1"/>
  <c r="D17" i="1"/>
  <c r="D16" i="1"/>
  <c r="D15" i="1"/>
  <c r="D14" i="1"/>
  <c r="D12" i="1"/>
  <c r="D10" i="1"/>
  <c r="D9" i="1"/>
  <c r="D8" i="1"/>
  <c r="C7" i="1"/>
  <c r="C11" i="1" s="1"/>
  <c r="C13" i="1" s="1"/>
  <c r="C18" i="1" s="1"/>
  <c r="C22" i="1" s="1"/>
  <c r="B7" i="1"/>
  <c r="B11" i="1" s="1"/>
  <c r="D6" i="1"/>
  <c r="D5" i="1"/>
  <c r="B13" i="1" l="1"/>
  <c r="D11" i="1"/>
  <c r="D7" i="1"/>
  <c r="B18" i="1" l="1"/>
  <c r="D13" i="1"/>
  <c r="B22" i="1" l="1"/>
  <c r="D22" i="1" s="1"/>
  <c r="D18" i="1"/>
</calcChain>
</file>

<file path=xl/sharedStrings.xml><?xml version="1.0" encoding="utf-8"?>
<sst xmlns="http://schemas.openxmlformats.org/spreadsheetml/2006/main" count="48" uniqueCount="48">
  <si>
    <t>项目</t>
  </si>
  <si>
    <t>1月</t>
    <phoneticPr fontId="3" type="noConversion"/>
  </si>
  <si>
    <t>2月</t>
    <phoneticPr fontId="3" type="noConversion"/>
  </si>
  <si>
    <t>累计</t>
    <phoneticPr fontId="3" type="noConversion"/>
  </si>
  <si>
    <t>一、营业收入</t>
    <phoneticPr fontId="5" type="noConversion"/>
  </si>
  <si>
    <t xml:space="preserve">        减：销售折扣与折让</t>
    <phoneticPr fontId="5" type="noConversion"/>
  </si>
  <si>
    <t xml:space="preserve">        营业收入净额</t>
    <phoneticPr fontId="5" type="noConversion"/>
  </si>
  <si>
    <t xml:space="preserve">        减：营业成本</t>
    <phoneticPr fontId="5" type="noConversion"/>
  </si>
  <si>
    <t xml:space="preserve">            经营费用</t>
    <phoneticPr fontId="5" type="noConversion"/>
  </si>
  <si>
    <t xml:space="preserve">            商品销售税金及附加</t>
    <phoneticPr fontId="5" type="noConversion"/>
  </si>
  <si>
    <t>二、商品销售利润</t>
    <phoneticPr fontId="5" type="noConversion"/>
  </si>
  <si>
    <t xml:space="preserve">        加：代购代销收入</t>
    <phoneticPr fontId="5" type="noConversion"/>
  </si>
  <si>
    <t>三、主营业务利润</t>
    <phoneticPr fontId="5" type="noConversion"/>
  </si>
  <si>
    <t xml:space="preserve">        加：其他业务利润</t>
    <phoneticPr fontId="5" type="noConversion"/>
  </si>
  <si>
    <t xml:space="preserve">        减：管理费用</t>
    <phoneticPr fontId="5" type="noConversion"/>
  </si>
  <si>
    <t xml:space="preserve">            财务费用</t>
    <phoneticPr fontId="5" type="noConversion"/>
  </si>
  <si>
    <t xml:space="preserve">            汇兑损失</t>
    <phoneticPr fontId="5" type="noConversion"/>
  </si>
  <si>
    <t>四、营业利润</t>
    <phoneticPr fontId="5" type="noConversion"/>
  </si>
  <si>
    <t xml:space="preserve">        加：投资收益</t>
    <phoneticPr fontId="5" type="noConversion"/>
  </si>
  <si>
    <t xml:space="preserve">            营业外收入</t>
    <phoneticPr fontId="5" type="noConversion"/>
  </si>
  <si>
    <t xml:space="preserve">        减：营业外支出</t>
    <phoneticPr fontId="5" type="noConversion"/>
  </si>
  <si>
    <t>五、利润总额</t>
    <phoneticPr fontId="5" type="noConversion"/>
  </si>
  <si>
    <t>利润表</t>
    <phoneticPr fontId="3" type="noConversion"/>
  </si>
  <si>
    <r>
      <rPr>
        <b/>
        <sz val="11"/>
        <color theme="1"/>
        <rFont val="宋体"/>
        <family val="3"/>
        <charset val="134"/>
      </rPr>
      <t>编制单位：</t>
    </r>
    <r>
      <rPr>
        <b/>
        <sz val="11"/>
        <color theme="1"/>
        <rFont val="Arial"/>
        <family val="2"/>
        <charset val="134"/>
      </rPr>
      <t>A</t>
    </r>
    <r>
      <rPr>
        <b/>
        <sz val="11"/>
        <color theme="1"/>
        <rFont val="宋体"/>
        <family val="3"/>
        <charset val="134"/>
      </rPr>
      <t>公司</t>
    </r>
    <phoneticPr fontId="3" type="noConversion"/>
  </si>
  <si>
    <t>单位：元</t>
    <phoneticPr fontId="3" type="noConversion"/>
  </si>
  <si>
    <t>含税级距</t>
  </si>
  <si>
    <t>速算扣除数</t>
  </si>
  <si>
    <t>不超过1500元的</t>
  </si>
  <si>
    <t>超过1500元至4,500元的部分</t>
  </si>
  <si>
    <t>超过4,500元至9,000元的部分</t>
  </si>
  <si>
    <t>超过9,000元至35,000元的部分</t>
  </si>
  <si>
    <t>超过35,000元至55,000元的部分</t>
  </si>
  <si>
    <t>超过55,000元至80,000元的部分</t>
  </si>
  <si>
    <t>超过80,000元的部分</t>
  </si>
  <si>
    <t>姓名</t>
    <phoneticPr fontId="13" type="noConversion"/>
  </si>
  <si>
    <t>薪资</t>
    <phoneticPr fontId="13" type="noConversion"/>
  </si>
  <si>
    <t>应税额</t>
    <phoneticPr fontId="13" type="noConversion"/>
  </si>
  <si>
    <t>个调税</t>
    <phoneticPr fontId="13" type="noConversion"/>
  </si>
  <si>
    <t>员工A</t>
  </si>
  <si>
    <t>员工B</t>
  </si>
  <si>
    <t>员工C</t>
  </si>
  <si>
    <t>员工D</t>
  </si>
  <si>
    <t>员工E</t>
  </si>
  <si>
    <t>员工F</t>
  </si>
  <si>
    <t>员工G</t>
  </si>
  <si>
    <t>员工H</t>
  </si>
  <si>
    <t>员工I</t>
  </si>
  <si>
    <t>税率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</si>
</sst>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 * #,##0_ ;_ * \-#,##0_ ;_ * &quot;-&quot;_ ;_ @_ "/>
  </numFmts>
  <fonts count="16" x14ac:knownFonts="1">
    <font>
      <sz val="12"/>
      <color theme="1"/>
      <name val="Arial"/>
      <family val="2"/>
      <charset val="134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9"/>
      <name val="Arial"/>
      <family val="2"/>
      <charset val="134"/>
    </font>
    <font>
      <sz val="11"/>
      <name val="宋体"/>
      <family val="3"/>
      <charset val="134"/>
    </font>
    <font>
      <sz val="9"/>
      <name val="宋体"/>
      <family val="3"/>
      <charset val="134"/>
    </font>
    <font>
      <b/>
      <sz val="18"/>
      <color theme="1"/>
      <name val="黑体"/>
      <family val="3"/>
      <charset val="134"/>
    </font>
    <font>
      <b/>
      <sz val="11"/>
      <color theme="1"/>
      <name val="宋体"/>
      <family val="3"/>
      <charset val="134"/>
    </font>
    <font>
      <b/>
      <sz val="11"/>
      <color theme="1"/>
      <name val="Arial"/>
      <family val="2"/>
      <charset val="134"/>
    </font>
    <font>
      <sz val="12"/>
      <color rgb="FF000000"/>
      <name val="宋体"/>
      <family val="3"/>
      <charset val="134"/>
    </font>
    <font>
      <sz val="12"/>
      <color theme="1"/>
      <name val="Arial"/>
      <family val="2"/>
      <charset val="134"/>
    </font>
    <font>
      <sz val="11"/>
      <color theme="1"/>
      <name val="宋体"/>
      <family val="2"/>
      <charset val="134"/>
      <scheme val="minor"/>
    </font>
    <font>
      <b/>
      <sz val="11"/>
      <color rgb="FF000000"/>
      <name val="Arial"/>
      <family val="2"/>
    </font>
    <font>
      <sz val="9"/>
      <name val="宋体"/>
      <family val="2"/>
      <charset val="134"/>
      <scheme val="minor"/>
    </font>
    <font>
      <sz val="11"/>
      <color rgb="FF000000"/>
      <name val="Arial"/>
      <family val="2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9" fontId="10" fillId="0" borderId="0" applyFont="0" applyFill="0" applyBorder="0" applyAlignment="0" applyProtection="0">
      <alignment vertical="center"/>
    </xf>
    <xf numFmtId="0" fontId="11" fillId="0" borderId="0">
      <alignment vertical="center"/>
    </xf>
  </cellStyleXfs>
  <cellXfs count="17">
    <xf numFmtId="0" fontId="0" fillId="0" borderId="0" xfId="0">
      <alignment vertical="center"/>
    </xf>
    <xf numFmtId="0" fontId="4" fillId="2" borderId="1" xfId="1" applyFont="1" applyFill="1" applyBorder="1" applyAlignment="1" applyProtection="1">
      <protection locked="0"/>
    </xf>
    <xf numFmtId="0" fontId="7" fillId="0" borderId="0" xfId="0" applyFont="1">
      <alignment vertical="center"/>
    </xf>
    <xf numFmtId="0" fontId="2" fillId="2" borderId="1" xfId="1" applyFont="1" applyFill="1" applyBorder="1" applyAlignment="1" applyProtection="1">
      <alignment horizontal="center"/>
      <protection locked="0"/>
    </xf>
    <xf numFmtId="4" fontId="2" fillId="2" borderId="1" xfId="1" applyNumberFormat="1" applyFont="1" applyFill="1" applyBorder="1" applyAlignment="1" applyProtection="1">
      <alignment horizontal="center"/>
      <protection locked="0"/>
    </xf>
    <xf numFmtId="0" fontId="8" fillId="0" borderId="0" xfId="0" applyFont="1">
      <alignment vertical="center"/>
    </xf>
    <xf numFmtId="41" fontId="4" fillId="0" borderId="1" xfId="1" applyNumberFormat="1" applyFont="1" applyFill="1" applyBorder="1" applyAlignment="1" applyProtection="1">
      <alignment horizontal="right"/>
      <protection locked="0"/>
    </xf>
    <xf numFmtId="41" fontId="4" fillId="2" borderId="1" xfId="1" applyNumberFormat="1" applyFont="1" applyFill="1" applyBorder="1" applyAlignment="1" applyProtection="1">
      <alignment horizontal="right"/>
      <protection locked="0"/>
    </xf>
    <xf numFmtId="41" fontId="14" fillId="0" borderId="1" xfId="3" applyNumberFormat="1" applyFont="1" applyFill="1" applyBorder="1" applyAlignment="1">
      <alignment vertical="center" wrapText="1"/>
    </xf>
    <xf numFmtId="41" fontId="14" fillId="3" borderId="1" xfId="3" applyNumberFormat="1" applyFont="1" applyFill="1" applyBorder="1" applyAlignment="1">
      <alignment horizontal="center" vertical="center" wrapText="1"/>
    </xf>
    <xf numFmtId="9" fontId="14" fillId="3" borderId="1" xfId="2" applyFont="1" applyFill="1" applyBorder="1" applyAlignment="1">
      <alignment horizontal="center" vertical="center" wrapText="1"/>
    </xf>
    <xf numFmtId="41" fontId="12" fillId="4" borderId="1" xfId="3" applyNumberFormat="1" applyFont="1" applyFill="1" applyBorder="1" applyAlignment="1">
      <alignment horizontal="center" vertical="center" wrapText="1"/>
    </xf>
    <xf numFmtId="0" fontId="11" fillId="0" borderId="1" xfId="3" applyBorder="1">
      <alignment vertical="center"/>
    </xf>
    <xf numFmtId="0" fontId="11" fillId="5" borderId="1" xfId="3" applyFill="1" applyBorder="1">
      <alignment vertical="center"/>
    </xf>
    <xf numFmtId="41" fontId="11" fillId="0" borderId="1" xfId="3" applyNumberFormat="1" applyBorder="1">
      <alignment vertical="center"/>
    </xf>
    <xf numFmtId="0" fontId="15" fillId="4" borderId="1" xfId="3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4">
    <cellStyle name="百分比" xfId="2" builtinId="5"/>
    <cellStyle name="常规" xfId="0" builtinId="0"/>
    <cellStyle name="常规 2" xfId="3"/>
    <cellStyle name="常规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638175</xdr:colOff>
          <xdr:row>7</xdr:row>
          <xdr:rowOff>47625</xdr:rowOff>
        </xdr:from>
        <xdr:to>
          <xdr:col>5</xdr:col>
          <xdr:colOff>714375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以千元显示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11</xdr:row>
          <xdr:rowOff>152400</xdr:rowOff>
        </xdr:from>
        <xdr:to>
          <xdr:col>5</xdr:col>
          <xdr:colOff>714375</xdr:colOff>
          <xdr:row>13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以元显示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mes.li/Documents/Excel/IT&#37096;&#33853;&#31389;&#20070;&#31295;/&#21271;&#20140;&#28304;&#26234;&#22825;&#19979;&#31185;&#25216;&#26377;&#38480;&#20844;&#21496;/&#25968;&#25454;&#22788;&#29702;&#12289;&#35745;&#31639;&#19982;&#20998;&#26512;/&#31532;5&#31456;/5.5%20%20&#24039;&#22937;&#21033;&#29992;&#20989;&#25968;&#30340;&#27169;&#31946;&#26597;&#2521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税率表"/>
      <sheetName val="个调税"/>
      <sheetName val="成绩分级"/>
    </sheetNames>
    <sheetDataSet>
      <sheetData sheetId="0">
        <row r="2">
          <cell r="B2">
            <v>0</v>
          </cell>
          <cell r="C2">
            <v>3</v>
          </cell>
          <cell r="D2">
            <v>0</v>
          </cell>
        </row>
        <row r="3">
          <cell r="B3">
            <v>1500</v>
          </cell>
          <cell r="C3">
            <v>10</v>
          </cell>
          <cell r="D3">
            <v>105</v>
          </cell>
        </row>
        <row r="4">
          <cell r="B4">
            <v>4500</v>
          </cell>
          <cell r="C4">
            <v>20</v>
          </cell>
          <cell r="D4">
            <v>555</v>
          </cell>
        </row>
        <row r="5">
          <cell r="B5">
            <v>9000</v>
          </cell>
          <cell r="C5">
            <v>25</v>
          </cell>
          <cell r="D5">
            <v>1005</v>
          </cell>
        </row>
        <row r="6">
          <cell r="B6">
            <v>35000</v>
          </cell>
          <cell r="C6">
            <v>30</v>
          </cell>
          <cell r="D6">
            <v>2755</v>
          </cell>
        </row>
        <row r="7">
          <cell r="B7">
            <v>55000</v>
          </cell>
          <cell r="C7">
            <v>35</v>
          </cell>
          <cell r="D7">
            <v>5505</v>
          </cell>
        </row>
        <row r="8">
          <cell r="B8">
            <v>80000</v>
          </cell>
          <cell r="C8">
            <v>45</v>
          </cell>
          <cell r="D8">
            <v>13505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2"/>
  <sheetViews>
    <sheetView workbookViewId="0">
      <selection activeCell="D4" sqref="D4"/>
    </sheetView>
  </sheetViews>
  <sheetFormatPr defaultRowHeight="15" x14ac:dyDescent="0.2"/>
  <cols>
    <col min="1" max="1" width="28.6640625" bestFit="1" customWidth="1"/>
    <col min="2" max="3" width="11.21875" bestFit="1" customWidth="1"/>
    <col min="4" max="4" width="12.21875" bestFit="1" customWidth="1"/>
  </cols>
  <sheetData>
    <row r="1" spans="1:6" ht="22.5" x14ac:dyDescent="0.2">
      <c r="A1" s="16" t="s">
        <v>22</v>
      </c>
      <c r="B1" s="16"/>
      <c r="C1" s="16"/>
      <c r="D1" s="16"/>
      <c r="F1">
        <v>1000</v>
      </c>
    </row>
    <row r="2" spans="1:6" ht="8.25" customHeight="1" x14ac:dyDescent="0.2"/>
    <row r="3" spans="1:6" x14ac:dyDescent="0.2">
      <c r="A3" s="5" t="s">
        <v>23</v>
      </c>
      <c r="D3" s="2" t="s">
        <v>24</v>
      </c>
    </row>
    <row r="4" spans="1:6" x14ac:dyDescent="0.15">
      <c r="A4" s="3" t="s">
        <v>0</v>
      </c>
      <c r="B4" s="4" t="s">
        <v>1</v>
      </c>
      <c r="C4" s="4" t="s">
        <v>2</v>
      </c>
      <c r="D4" s="4" t="s">
        <v>3</v>
      </c>
    </row>
    <row r="5" spans="1:6" x14ac:dyDescent="0.15">
      <c r="A5" s="1" t="s">
        <v>4</v>
      </c>
      <c r="B5" s="6">
        <v>9404375</v>
      </c>
      <c r="C5" s="6">
        <v>5535572.5928727891</v>
      </c>
      <c r="D5" s="7">
        <f>SUM(B5:C5)</f>
        <v>14939947.592872789</v>
      </c>
    </row>
    <row r="6" spans="1:6" x14ac:dyDescent="0.15">
      <c r="A6" s="1" t="s">
        <v>5</v>
      </c>
      <c r="B6" s="6">
        <v>721229.81784004194</v>
      </c>
      <c r="C6" s="6">
        <v>424527.94713077374</v>
      </c>
      <c r="D6" s="7">
        <f t="shared" ref="D6:D22" si="0">SUM(B6:C6)</f>
        <v>1145757.7649708157</v>
      </c>
    </row>
    <row r="7" spans="1:6" x14ac:dyDescent="0.15">
      <c r="A7" s="1" t="s">
        <v>6</v>
      </c>
      <c r="B7" s="7">
        <f>B5-B6</f>
        <v>8683145.1821599584</v>
      </c>
      <c r="C7" s="7">
        <f>C5-C6</f>
        <v>5111044.645742015</v>
      </c>
      <c r="D7" s="7">
        <f t="shared" si="0"/>
        <v>13794189.827901974</v>
      </c>
    </row>
    <row r="8" spans="1:6" x14ac:dyDescent="0.15">
      <c r="A8" s="1" t="s">
        <v>7</v>
      </c>
      <c r="B8" s="6">
        <v>2253196.0979702543</v>
      </c>
      <c r="C8" s="6">
        <v>1326268.9510246085</v>
      </c>
      <c r="D8" s="7">
        <f t="shared" si="0"/>
        <v>3579465.0489948625</v>
      </c>
    </row>
    <row r="9" spans="1:6" x14ac:dyDescent="0.15">
      <c r="A9" s="1" t="s">
        <v>8</v>
      </c>
      <c r="B9" s="6">
        <v>580999</v>
      </c>
      <c r="C9" s="6">
        <v>341985.73971013463</v>
      </c>
      <c r="D9" s="7">
        <f t="shared" si="0"/>
        <v>922984.73971013469</v>
      </c>
    </row>
    <row r="10" spans="1:6" x14ac:dyDescent="0.15">
      <c r="A10" s="1" t="s">
        <v>9</v>
      </c>
      <c r="B10" s="6">
        <v>333855.31249999994</v>
      </c>
      <c r="C10" s="6">
        <v>196512.82704698399</v>
      </c>
      <c r="D10" s="7">
        <f t="shared" si="0"/>
        <v>530368.13954698388</v>
      </c>
    </row>
    <row r="11" spans="1:6" x14ac:dyDescent="0.15">
      <c r="A11" s="1" t="s">
        <v>10</v>
      </c>
      <c r="B11" s="7">
        <f>B7-B8-B9-B10</f>
        <v>5515094.7716897037</v>
      </c>
      <c r="C11" s="7">
        <f>C7-C8-C9-C10</f>
        <v>3246277.127960288</v>
      </c>
      <c r="D11" s="7">
        <f t="shared" si="0"/>
        <v>8761371.8996499926</v>
      </c>
    </row>
    <row r="12" spans="1:6" x14ac:dyDescent="0.15">
      <c r="A12" s="1" t="s">
        <v>11</v>
      </c>
      <c r="B12" s="6">
        <v>5000</v>
      </c>
      <c r="C12" s="6">
        <v>2943.0837205411253</v>
      </c>
      <c r="D12" s="7">
        <f t="shared" si="0"/>
        <v>7943.0837205411253</v>
      </c>
    </row>
    <row r="13" spans="1:6" x14ac:dyDescent="0.15">
      <c r="A13" s="1" t="s">
        <v>12</v>
      </c>
      <c r="B13" s="7">
        <f>B11+B12</f>
        <v>5520094.7716897037</v>
      </c>
      <c r="C13" s="7">
        <f>C11+C12</f>
        <v>3249220.2116808291</v>
      </c>
      <c r="D13" s="7">
        <f t="shared" si="0"/>
        <v>8769314.9833705332</v>
      </c>
    </row>
    <row r="14" spans="1:6" x14ac:dyDescent="0.15">
      <c r="A14" s="1" t="s">
        <v>13</v>
      </c>
      <c r="B14" s="6">
        <v>471300</v>
      </c>
      <c r="C14" s="6">
        <v>186255.944506267</v>
      </c>
      <c r="D14" s="7">
        <f t="shared" si="0"/>
        <v>657555.94450626697</v>
      </c>
    </row>
    <row r="15" spans="1:6" x14ac:dyDescent="0.15">
      <c r="A15" s="1" t="s">
        <v>14</v>
      </c>
      <c r="B15" s="6">
        <v>239207</v>
      </c>
      <c r="C15" s="6">
        <v>94533.684951221323</v>
      </c>
      <c r="D15" s="7">
        <f t="shared" si="0"/>
        <v>333740.68495122134</v>
      </c>
    </row>
    <row r="16" spans="1:6" x14ac:dyDescent="0.15">
      <c r="A16" s="1" t="s">
        <v>15</v>
      </c>
      <c r="B16" s="6">
        <v>7601</v>
      </c>
      <c r="C16" s="6">
        <v>3003.8859202039794</v>
      </c>
      <c r="D16" s="7">
        <f t="shared" si="0"/>
        <v>10604.885920203978</v>
      </c>
    </row>
    <row r="17" spans="1:4" x14ac:dyDescent="0.15">
      <c r="A17" s="1" t="s">
        <v>16</v>
      </c>
      <c r="B17" s="6">
        <v>0</v>
      </c>
      <c r="C17" s="6">
        <v>0</v>
      </c>
      <c r="D17" s="7">
        <f t="shared" si="0"/>
        <v>0</v>
      </c>
    </row>
    <row r="18" spans="1:4" x14ac:dyDescent="0.15">
      <c r="A18" s="1" t="s">
        <v>17</v>
      </c>
      <c r="B18" s="7">
        <f>B13+B14-B15-B16-B17</f>
        <v>5744586.7716897037</v>
      </c>
      <c r="C18" s="7">
        <f>C13+C14-C15-C16-C17</f>
        <v>3337938.5853156713</v>
      </c>
      <c r="D18" s="7">
        <f t="shared" si="0"/>
        <v>9082525.3570053745</v>
      </c>
    </row>
    <row r="19" spans="1:4" x14ac:dyDescent="0.15">
      <c r="A19" s="1" t="s">
        <v>18</v>
      </c>
      <c r="B19" s="6">
        <v>0</v>
      </c>
      <c r="C19" s="6">
        <v>0</v>
      </c>
      <c r="D19" s="7">
        <f t="shared" si="0"/>
        <v>0</v>
      </c>
    </row>
    <row r="20" spans="1:4" x14ac:dyDescent="0.15">
      <c r="A20" s="1" t="s">
        <v>19</v>
      </c>
      <c r="B20" s="6">
        <v>170532</v>
      </c>
      <c r="C20" s="6">
        <v>67393.589494043554</v>
      </c>
      <c r="D20" s="7">
        <f t="shared" si="0"/>
        <v>237925.58949404355</v>
      </c>
    </row>
    <row r="21" spans="1:4" x14ac:dyDescent="0.15">
      <c r="A21" s="1" t="s">
        <v>20</v>
      </c>
      <c r="B21" s="6">
        <v>260536</v>
      </c>
      <c r="C21" s="6">
        <v>102962.82358982555</v>
      </c>
      <c r="D21" s="7">
        <f t="shared" si="0"/>
        <v>363498.82358982554</v>
      </c>
    </row>
    <row r="22" spans="1:4" x14ac:dyDescent="0.15">
      <c r="A22" s="1" t="s">
        <v>21</v>
      </c>
      <c r="B22" s="7">
        <f>B18+B19+B20-B21</f>
        <v>5654582.7716897037</v>
      </c>
      <c r="C22" s="7">
        <f>C18+C19+C20-C21</f>
        <v>3302369.3512198892</v>
      </c>
      <c r="D22" s="7">
        <f t="shared" si="0"/>
        <v>8956952.1229095925</v>
      </c>
    </row>
  </sheetData>
  <mergeCells count="1">
    <mergeCell ref="A1:D1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以千元显示">
                <anchor moveWithCells="1" sizeWithCells="1">
                  <from>
                    <xdr:col>4</xdr:col>
                    <xdr:colOff>638175</xdr:colOff>
                    <xdr:row>7</xdr:row>
                    <xdr:rowOff>47625</xdr:rowOff>
                  </from>
                  <to>
                    <xdr:col>5</xdr:col>
                    <xdr:colOff>714375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以元显示">
                <anchor moveWithCells="1" sizeWithCells="1">
                  <from>
                    <xdr:col>4</xdr:col>
                    <xdr:colOff>647700</xdr:colOff>
                    <xdr:row>11</xdr:row>
                    <xdr:rowOff>152400</xdr:rowOff>
                  </from>
                  <to>
                    <xdr:col>5</xdr:col>
                    <xdr:colOff>714375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"/>
  <sheetViews>
    <sheetView tabSelected="1" workbookViewId="0">
      <selection activeCell="B13" sqref="B13"/>
    </sheetView>
  </sheetViews>
  <sheetFormatPr defaultRowHeight="15" x14ac:dyDescent="0.2"/>
  <cols>
    <col min="1" max="1" width="26.109375" customWidth="1"/>
    <col min="2" max="2" width="5.33203125" bestFit="1" customWidth="1"/>
    <col min="3" max="3" width="10.77734375" bestFit="1" customWidth="1"/>
    <col min="5" max="5" width="5.5546875" bestFit="1" customWidth="1"/>
    <col min="6" max="6" width="8.44140625" bestFit="1" customWidth="1"/>
    <col min="7" max="7" width="9" bestFit="1" customWidth="1"/>
  </cols>
  <sheetData>
    <row r="1" spans="1:8" x14ac:dyDescent="0.2">
      <c r="A1" s="11" t="s">
        <v>25</v>
      </c>
      <c r="B1" s="11" t="s">
        <v>47</v>
      </c>
      <c r="C1" s="11" t="s">
        <v>26</v>
      </c>
      <c r="E1" s="15" t="s">
        <v>34</v>
      </c>
      <c r="F1" s="15" t="s">
        <v>35</v>
      </c>
      <c r="G1" s="15" t="s">
        <v>36</v>
      </c>
      <c r="H1" s="15" t="s">
        <v>37</v>
      </c>
    </row>
    <row r="2" spans="1:8" x14ac:dyDescent="0.2">
      <c r="A2" s="8" t="s">
        <v>27</v>
      </c>
      <c r="B2" s="10">
        <v>0.03</v>
      </c>
      <c r="C2" s="9">
        <v>0</v>
      </c>
      <c r="E2" s="12" t="s">
        <v>38</v>
      </c>
      <c r="F2" s="14">
        <v>25000</v>
      </c>
      <c r="G2" s="14">
        <f>F2-3500</f>
        <v>21500</v>
      </c>
      <c r="H2" s="13">
        <f>个人所得税(G2)</f>
        <v>4370</v>
      </c>
    </row>
    <row r="3" spans="1:8" x14ac:dyDescent="0.2">
      <c r="A3" s="8" t="s">
        <v>28</v>
      </c>
      <c r="B3" s="10">
        <v>0.1</v>
      </c>
      <c r="C3" s="9">
        <v>105</v>
      </c>
      <c r="E3" s="12" t="s">
        <v>39</v>
      </c>
      <c r="F3" s="14">
        <v>7000</v>
      </c>
      <c r="G3" s="14">
        <f t="shared" ref="G3:G10" si="0">F3-3500</f>
        <v>3500</v>
      </c>
      <c r="H3" s="13">
        <f t="shared" ref="H3:H10" si="1">个人所得税(G3)</f>
        <v>245</v>
      </c>
    </row>
    <row r="4" spans="1:8" x14ac:dyDescent="0.2">
      <c r="A4" s="8" t="s">
        <v>29</v>
      </c>
      <c r="B4" s="10">
        <v>0.2</v>
      </c>
      <c r="C4" s="9">
        <v>555</v>
      </c>
      <c r="E4" s="12" t="s">
        <v>40</v>
      </c>
      <c r="F4" s="14">
        <v>22000</v>
      </c>
      <c r="G4" s="14">
        <f t="shared" si="0"/>
        <v>18500</v>
      </c>
      <c r="H4" s="13">
        <f t="shared" si="1"/>
        <v>3620</v>
      </c>
    </row>
    <row r="5" spans="1:8" x14ac:dyDescent="0.2">
      <c r="A5" s="8" t="s">
        <v>30</v>
      </c>
      <c r="B5" s="10">
        <v>0.25</v>
      </c>
      <c r="C5" s="9">
        <v>1005</v>
      </c>
      <c r="E5" s="12" t="s">
        <v>41</v>
      </c>
      <c r="F5" s="14">
        <v>21000</v>
      </c>
      <c r="G5" s="14">
        <f t="shared" si="0"/>
        <v>17500</v>
      </c>
      <c r="H5" s="13">
        <f t="shared" si="1"/>
        <v>3370</v>
      </c>
    </row>
    <row r="6" spans="1:8" x14ac:dyDescent="0.2">
      <c r="A6" s="8" t="s">
        <v>31</v>
      </c>
      <c r="B6" s="10">
        <v>0.3</v>
      </c>
      <c r="C6" s="9">
        <v>2755</v>
      </c>
      <c r="E6" s="12" t="s">
        <v>42</v>
      </c>
      <c r="F6" s="14">
        <v>14000</v>
      </c>
      <c r="G6" s="14">
        <f t="shared" si="0"/>
        <v>10500</v>
      </c>
      <c r="H6" s="13">
        <f t="shared" si="1"/>
        <v>1620</v>
      </c>
    </row>
    <row r="7" spans="1:8" x14ac:dyDescent="0.2">
      <c r="A7" s="8" t="s">
        <v>32</v>
      </c>
      <c r="B7" s="10">
        <v>0.35000000000000003</v>
      </c>
      <c r="C7" s="9">
        <v>5505</v>
      </c>
      <c r="E7" s="12" t="s">
        <v>43</v>
      </c>
      <c r="F7" s="14">
        <v>29000</v>
      </c>
      <c r="G7" s="14">
        <f t="shared" si="0"/>
        <v>25500</v>
      </c>
      <c r="H7" s="13">
        <f t="shared" si="1"/>
        <v>5370</v>
      </c>
    </row>
    <row r="8" spans="1:8" x14ac:dyDescent="0.2">
      <c r="A8" s="8" t="s">
        <v>33</v>
      </c>
      <c r="B8" s="10">
        <v>0.45</v>
      </c>
      <c r="C8" s="9">
        <v>13505</v>
      </c>
      <c r="E8" s="12" t="s">
        <v>44</v>
      </c>
      <c r="F8" s="14">
        <v>10000</v>
      </c>
      <c r="G8" s="14">
        <f t="shared" si="0"/>
        <v>6500</v>
      </c>
      <c r="H8" s="13">
        <f t="shared" si="1"/>
        <v>745</v>
      </c>
    </row>
    <row r="9" spans="1:8" x14ac:dyDescent="0.2">
      <c r="E9" s="12" t="s">
        <v>45</v>
      </c>
      <c r="F9" s="14">
        <v>3000</v>
      </c>
      <c r="G9" s="14">
        <f t="shared" si="0"/>
        <v>-500</v>
      </c>
      <c r="H9" s="13">
        <f t="shared" si="1"/>
        <v>0</v>
      </c>
    </row>
    <row r="10" spans="1:8" x14ac:dyDescent="0.2">
      <c r="E10" s="12" t="s">
        <v>46</v>
      </c>
      <c r="F10" s="14">
        <v>29000</v>
      </c>
      <c r="G10" s="14">
        <f t="shared" si="0"/>
        <v>25500</v>
      </c>
      <c r="H10" s="13">
        <f t="shared" si="1"/>
        <v>5370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IF判断</vt:lpstr>
      <vt:lpstr>个人所得税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dgxsdr</dc:creator>
  <cp:lastModifiedBy>james.li</cp:lastModifiedBy>
  <dcterms:created xsi:type="dcterms:W3CDTF">2013-08-26T08:04:24Z</dcterms:created>
  <dcterms:modified xsi:type="dcterms:W3CDTF">2013-08-27T08:33:17Z</dcterms:modified>
</cp:coreProperties>
</file>