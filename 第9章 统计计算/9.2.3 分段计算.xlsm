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60" windowWidth="18120" windowHeight="7710" activeTab="4"/>
  </bookViews>
  <sheets>
    <sheet name="个人所得税" sheetId="1" r:id="rId1"/>
    <sheet name="测算" sheetId="3" r:id="rId2"/>
    <sheet name="审计费率" sheetId="2" r:id="rId3"/>
    <sheet name="速算扣除" sheetId="4" r:id="rId4"/>
    <sheet name="审计费" sheetId="5" r:id="rId5"/>
  </sheets>
  <functionGroups builtInGroupCount="17"/>
  <externalReferences>
    <externalReference r:id="rId6"/>
  </externalReferences>
  <definedNames>
    <definedName name="税率">[1]税率表!$B$2:$D$8</definedName>
  </definedNames>
  <calcPr calcId="145621"/>
</workbook>
</file>

<file path=xl/calcChain.xml><?xml version="1.0" encoding="utf-8"?>
<calcChain xmlns="http://schemas.openxmlformats.org/spreadsheetml/2006/main">
  <c r="C4" i="4" l="1" a="1"/>
  <c r="C4" i="4" s="1"/>
  <c r="C5" i="4" a="1"/>
  <c r="C5" i="4" s="1"/>
  <c r="C3" i="4" a="1"/>
  <c r="C3" i="4" s="1"/>
  <c r="B3" i="5" l="1"/>
  <c r="B4" i="5"/>
  <c r="B5" i="5"/>
  <c r="B6" i="5"/>
  <c r="B7" i="5"/>
  <c r="B8" i="5"/>
  <c r="B2" i="5"/>
  <c r="C3" i="5" l="1" a="1"/>
  <c r="C3" i="5" s="1"/>
  <c r="C4" i="5" a="1"/>
  <c r="C4" i="5" s="1"/>
  <c r="C5" i="5" a="1"/>
  <c r="C5" i="5" s="1"/>
  <c r="C6" i="5" a="1"/>
  <c r="C6" i="5" s="1"/>
  <c r="C7" i="5" a="1"/>
  <c r="C7" i="5" s="1"/>
  <c r="C8" i="5" a="1"/>
  <c r="C8" i="5" s="1"/>
  <c r="C2" i="5" a="1"/>
  <c r="C2" i="5" s="1"/>
  <c r="L3" i="1" a="1"/>
  <c r="L3" i="1"/>
  <c r="L4" i="1" a="1"/>
  <c r="L4" i="1" s="1"/>
  <c r="L5" i="1" a="1"/>
  <c r="L5" i="1"/>
  <c r="L6" i="1" a="1"/>
  <c r="L6" i="1" s="1"/>
  <c r="L7" i="1" a="1"/>
  <c r="L7" i="1"/>
  <c r="L8" i="1" a="1"/>
  <c r="L8" i="1" s="1"/>
  <c r="L9" i="1" a="1"/>
  <c r="L9" i="1" s="1"/>
  <c r="L10" i="1" a="1"/>
  <c r="L10" i="1" s="1"/>
  <c r="L2" i="1" a="1"/>
  <c r="L2" i="1" s="1"/>
  <c r="E3" i="3"/>
  <c r="E4" i="3"/>
  <c r="E5" i="3"/>
  <c r="E6" i="3"/>
  <c r="E7" i="3"/>
  <c r="E8" i="3"/>
  <c r="E2" i="3"/>
  <c r="K3" i="1"/>
  <c r="K4" i="1"/>
  <c r="K5" i="1"/>
  <c r="K6" i="1"/>
  <c r="K7" i="1"/>
  <c r="K8" i="1"/>
  <c r="K9" i="1"/>
  <c r="K10" i="1"/>
  <c r="K2" i="1"/>
  <c r="H10" i="1"/>
  <c r="H9" i="1"/>
  <c r="H8" i="1"/>
  <c r="H7" i="1"/>
  <c r="H6" i="1"/>
  <c r="H5" i="1"/>
  <c r="H4" i="1"/>
  <c r="H3" i="1"/>
  <c r="H2" i="1"/>
  <c r="D4" i="5"/>
  <c r="D6" i="5"/>
  <c r="D5" i="5"/>
  <c r="D8" i="5"/>
  <c r="D3" i="5"/>
  <c r="D2" i="5"/>
  <c r="D7" i="5"/>
</calcChain>
</file>

<file path=xl/sharedStrings.xml><?xml version="1.0" encoding="utf-8"?>
<sst xmlns="http://schemas.openxmlformats.org/spreadsheetml/2006/main" count="88" uniqueCount="70">
  <si>
    <t>含税级距</t>
  </si>
  <si>
    <t>税率</t>
    <phoneticPr fontId="3" type="noConversion"/>
  </si>
  <si>
    <t>速算扣除数</t>
  </si>
  <si>
    <t>姓名</t>
    <phoneticPr fontId="6" type="noConversion"/>
  </si>
  <si>
    <t>薪资</t>
    <phoneticPr fontId="6" type="noConversion"/>
  </si>
  <si>
    <t>应税额</t>
    <phoneticPr fontId="6" type="noConversion"/>
  </si>
  <si>
    <t>个调税</t>
    <phoneticPr fontId="6" type="noConversion"/>
  </si>
  <si>
    <t>不超过1500元的</t>
  </si>
  <si>
    <t>员工A</t>
  </si>
  <si>
    <t>超过1500元至4,500元的部分</t>
  </si>
  <si>
    <t>员工B</t>
  </si>
  <si>
    <t>超过4,500元至9,000元的部分</t>
  </si>
  <si>
    <t>员工C</t>
  </si>
  <si>
    <t>超过9,000元至35,000元的部分</t>
  </si>
  <si>
    <t>员工D</t>
  </si>
  <si>
    <t>超过35,000元至55,000元的部分</t>
  </si>
  <si>
    <t>员工E</t>
  </si>
  <si>
    <t>超过55,000元至80,000元的部分</t>
  </si>
  <si>
    <t>员工F</t>
  </si>
  <si>
    <t>超过80,000元的部分</t>
  </si>
  <si>
    <t>员工G</t>
  </si>
  <si>
    <t>员工H</t>
  </si>
  <si>
    <t>员工I</t>
  </si>
  <si>
    <t>分段</t>
    <phoneticPr fontId="3" type="noConversion"/>
  </si>
  <si>
    <t>档次收费标准项目</t>
  </si>
  <si>
    <t>现有资产总额</t>
  </si>
  <si>
    <t>1000万元以下（含1000万元）</t>
  </si>
  <si>
    <t>1亿元以上-10亿元（含10亿元）</t>
  </si>
  <si>
    <t>10亿元以上</t>
  </si>
  <si>
    <t>鉴证项目</t>
  </si>
  <si>
    <t>年度审计</t>
  </si>
  <si>
    <t>千分之二点五</t>
  </si>
  <si>
    <t>万分之一点五</t>
  </si>
  <si>
    <t>万分之一</t>
  </si>
  <si>
    <t>万分之零点二</t>
  </si>
  <si>
    <t>所得税汇算清缴</t>
  </si>
  <si>
    <t>千分之二</t>
  </si>
  <si>
    <t>万分之零点八</t>
  </si>
  <si>
    <t>万分之零点一</t>
  </si>
  <si>
    <t>中期审计</t>
  </si>
  <si>
    <t>离任审计</t>
  </si>
  <si>
    <t>解散清算审计</t>
  </si>
  <si>
    <t>验证资本</t>
  </si>
  <si>
    <t>第1档</t>
    <phoneticPr fontId="3" type="noConversion"/>
  </si>
  <si>
    <t>第2档</t>
  </si>
  <si>
    <t>第4档</t>
  </si>
  <si>
    <t>第5档</t>
  </si>
  <si>
    <t>第6档</t>
  </si>
  <si>
    <t>第7档</t>
  </si>
  <si>
    <t>税率</t>
  </si>
  <si>
    <r>
      <t>第</t>
    </r>
    <r>
      <rPr>
        <sz val="12"/>
        <color rgb="FFFF0000"/>
        <rFont val="Arial"/>
        <family val="2"/>
      </rPr>
      <t>3</t>
    </r>
    <r>
      <rPr>
        <sz val="12"/>
        <color rgb="FFFF0000"/>
        <rFont val="Arial"/>
        <family val="2"/>
        <charset val="134"/>
      </rPr>
      <t>档</t>
    </r>
  </si>
  <si>
    <t>1000万元以上-1亿元（含1亿元）</t>
    <phoneticPr fontId="3" type="noConversion"/>
  </si>
  <si>
    <t>应税额</t>
    <phoneticPr fontId="3" type="noConversion"/>
  </si>
  <si>
    <t>档次</t>
    <phoneticPr fontId="3" type="noConversion"/>
  </si>
  <si>
    <t>个调税</t>
    <phoneticPr fontId="3" type="noConversion"/>
  </si>
  <si>
    <t>资产总额</t>
    <phoneticPr fontId="3" type="noConversion"/>
  </si>
  <si>
    <t>数组公式</t>
    <phoneticPr fontId="3" type="noConversion"/>
  </si>
  <si>
    <t>模糊查找</t>
    <phoneticPr fontId="3" type="noConversion"/>
  </si>
  <si>
    <t>自定义函数</t>
    <phoneticPr fontId="3" type="noConversion"/>
  </si>
  <si>
    <t>资产总额</t>
    <phoneticPr fontId="3" type="noConversion"/>
  </si>
  <si>
    <r>
      <rPr>
        <b/>
        <sz val="11"/>
        <color theme="1"/>
        <rFont val="Arial"/>
        <family val="2"/>
        <charset val="134"/>
      </rPr>
      <t>费率</t>
    </r>
    <phoneticPr fontId="3" type="noConversion"/>
  </si>
  <si>
    <t>速算扣除数</t>
    <phoneticPr fontId="3" type="noConversion"/>
  </si>
  <si>
    <r>
      <t>公式</t>
    </r>
    <r>
      <rPr>
        <b/>
        <sz val="11"/>
        <color theme="1"/>
        <rFont val="Arial"/>
        <family val="2"/>
      </rPr>
      <t>1</t>
    </r>
    <phoneticPr fontId="3" type="noConversion"/>
  </si>
  <si>
    <r>
      <t>公式</t>
    </r>
    <r>
      <rPr>
        <b/>
        <sz val="11"/>
        <color theme="1"/>
        <rFont val="Arial"/>
        <family val="2"/>
      </rPr>
      <t>2</t>
    </r>
    <phoneticPr fontId="3" type="noConversion"/>
  </si>
  <si>
    <t>{=A3*B3-SUM((A$3:A3-A$2:A2)*B$2:B2)}</t>
  </si>
  <si>
    <t>=A3*(B3-B2)</t>
  </si>
  <si>
    <t>{=A4*B4-SUM((A$3:A4-A$2:A3)*B$2:B3)}</t>
  </si>
  <si>
    <t>=A4*B4-A3*B2-(A4-A3)*B3</t>
  </si>
  <si>
    <t>{=A5*B5-SUM((A$3:A5-A$2:A4)*B$2:B4)}</t>
  </si>
  <si>
    <t>=A5*B5-A3*B2-(A4-A3)*B3-(A5-A4)*B4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</si>
</sst>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 * #,##0_ ;_ * \-#,##0_ ;_ * &quot;-&quot;_ ;_ @_ "/>
    <numFmt numFmtId="176" formatCode="0.000%"/>
  </numFmts>
  <fonts count="17" x14ac:knownFonts="1">
    <font>
      <sz val="12"/>
      <color theme="1"/>
      <name val="Arial"/>
      <family val="2"/>
      <charset val="134"/>
    </font>
    <font>
      <sz val="11"/>
      <color theme="1"/>
      <name val="宋体"/>
      <family val="2"/>
      <charset val="134"/>
      <scheme val="minor"/>
    </font>
    <font>
      <b/>
      <sz val="11"/>
      <color rgb="FF000000"/>
      <name val="Arial"/>
      <family val="2"/>
    </font>
    <font>
      <sz val="9"/>
      <name val="Arial"/>
      <family val="2"/>
      <charset val="134"/>
    </font>
    <font>
      <sz val="12"/>
      <color theme="1"/>
      <name val="Arial"/>
      <family val="2"/>
      <charset val="134"/>
    </font>
    <font>
      <b/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Arial"/>
      <family val="2"/>
    </font>
    <font>
      <sz val="12"/>
      <name val="宋体"/>
      <family val="3"/>
      <charset val="134"/>
    </font>
    <font>
      <sz val="9"/>
      <color theme="1"/>
      <name val="宋体"/>
      <family val="3"/>
      <charset val="134"/>
    </font>
    <font>
      <sz val="12"/>
      <color rgb="FFFF0000"/>
      <name val="Arial"/>
      <family val="2"/>
      <charset val="134"/>
    </font>
    <font>
      <sz val="12"/>
      <color rgb="FFFF0000"/>
      <name val="Arial"/>
      <family val="2"/>
    </font>
    <font>
      <b/>
      <sz val="12"/>
      <color theme="1"/>
      <name val="Arial"/>
      <family val="2"/>
      <charset val="134"/>
    </font>
    <font>
      <b/>
      <sz val="9"/>
      <color theme="1"/>
      <name val="宋体"/>
      <family val="3"/>
      <charset val="134"/>
    </font>
    <font>
      <b/>
      <sz val="11"/>
      <color theme="1"/>
      <name val="Arial"/>
      <family val="2"/>
      <charset val="134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EFFD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8" fillId="0" borderId="0"/>
  </cellStyleXfs>
  <cellXfs count="39">
    <xf numFmtId="0" fontId="0" fillId="0" borderId="0" xfId="0">
      <alignment vertical="center"/>
    </xf>
    <xf numFmtId="41" fontId="2" fillId="2" borderId="1" xfId="2" applyNumberFormat="1" applyFont="1" applyFill="1" applyBorder="1" applyAlignment="1">
      <alignment horizontal="center" vertical="center" wrapText="1"/>
    </xf>
    <xf numFmtId="0" fontId="5" fillId="2" borderId="1" xfId="2" applyFont="1" applyFill="1" applyBorder="1" applyAlignment="1">
      <alignment horizontal="center" vertical="center"/>
    </xf>
    <xf numFmtId="41" fontId="7" fillId="0" borderId="1" xfId="2" applyNumberFormat="1" applyFont="1" applyFill="1" applyBorder="1" applyAlignment="1">
      <alignment vertical="center" wrapText="1"/>
    </xf>
    <xf numFmtId="9" fontId="7" fillId="3" borderId="1" xfId="1" applyFont="1" applyFill="1" applyBorder="1" applyAlignment="1">
      <alignment horizontal="center" vertical="center" wrapText="1"/>
    </xf>
    <xf numFmtId="41" fontId="7" fillId="3" borderId="1" xfId="2" applyNumberFormat="1" applyFont="1" applyFill="1" applyBorder="1" applyAlignment="1">
      <alignment horizontal="center" vertical="center" wrapText="1"/>
    </xf>
    <xf numFmtId="0" fontId="1" fillId="0" borderId="1" xfId="2" applyBorder="1">
      <alignment vertical="center"/>
    </xf>
    <xf numFmtId="41" fontId="1" fillId="0" borderId="1" xfId="2" applyNumberFormat="1" applyBorder="1">
      <alignment vertical="center"/>
    </xf>
    <xf numFmtId="41" fontId="1" fillId="4" borderId="1" xfId="2" applyNumberFormat="1" applyFill="1" applyBorder="1">
      <alignment vertical="center"/>
    </xf>
    <xf numFmtId="9" fontId="0" fillId="0" borderId="0" xfId="1" applyFont="1">
      <alignment vertical="center"/>
    </xf>
    <xf numFmtId="41" fontId="0" fillId="0" borderId="0" xfId="0" applyNumberFormat="1">
      <alignment vertical="center"/>
    </xf>
    <xf numFmtId="0" fontId="9" fillId="5" borderId="1" xfId="0" applyFont="1" applyFill="1" applyBorder="1" applyAlignment="1">
      <alignment vertical="center" wrapText="1"/>
    </xf>
    <xf numFmtId="41" fontId="0" fillId="0" borderId="1" xfId="0" applyNumberFormat="1" applyBorder="1">
      <alignment vertical="center"/>
    </xf>
    <xf numFmtId="41" fontId="11" fillId="0" borderId="1" xfId="0" applyNumberFormat="1" applyFont="1" applyBorder="1">
      <alignment vertical="center"/>
    </xf>
    <xf numFmtId="4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41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9" fontId="11" fillId="0" borderId="1" xfId="1" applyFont="1" applyBorder="1" applyAlignment="1">
      <alignment horizontal="center" vertical="center"/>
    </xf>
    <xf numFmtId="41" fontId="12" fillId="2" borderId="1" xfId="0" applyNumberFormat="1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9" fontId="12" fillId="2" borderId="1" xfId="1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 wrapText="1"/>
    </xf>
    <xf numFmtId="41" fontId="12" fillId="2" borderId="0" xfId="0" applyNumberFormat="1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41" fontId="14" fillId="2" borderId="1" xfId="0" applyNumberFormat="1" applyFont="1" applyFill="1" applyBorder="1" applyAlignment="1">
      <alignment horizontal="center" vertical="center"/>
    </xf>
    <xf numFmtId="176" fontId="15" fillId="2" borderId="1" xfId="1" applyNumberFormat="1" applyFont="1" applyFill="1" applyBorder="1" applyAlignment="1">
      <alignment horizontal="center" vertical="center"/>
    </xf>
    <xf numFmtId="0" fontId="16" fillId="0" borderId="0" xfId="0" applyFont="1">
      <alignment vertical="center"/>
    </xf>
    <xf numFmtId="41" fontId="16" fillId="0" borderId="1" xfId="0" applyNumberFormat="1" applyFont="1" applyBorder="1">
      <alignment vertical="center"/>
    </xf>
    <xf numFmtId="176" fontId="16" fillId="0" borderId="1" xfId="1" applyNumberFormat="1" applyFont="1" applyBorder="1">
      <alignment vertical="center"/>
    </xf>
    <xf numFmtId="0" fontId="16" fillId="0" borderId="1" xfId="0" applyFont="1" applyBorder="1">
      <alignment vertical="center"/>
    </xf>
    <xf numFmtId="41" fontId="16" fillId="0" borderId="4" xfId="0" applyNumberFormat="1" applyFont="1" applyBorder="1">
      <alignment vertical="center"/>
    </xf>
    <xf numFmtId="41" fontId="16" fillId="0" borderId="0" xfId="0" applyNumberFormat="1" applyFont="1">
      <alignment vertical="center"/>
    </xf>
    <xf numFmtId="176" fontId="16" fillId="0" borderId="0" xfId="1" applyNumberFormat="1" applyFont="1">
      <alignment vertical="center"/>
    </xf>
    <xf numFmtId="0" fontId="13" fillId="5" borderId="1" xfId="0" applyFont="1" applyFill="1" applyBorder="1" applyAlignment="1">
      <alignment vertical="center" wrapText="1"/>
    </xf>
    <xf numFmtId="0" fontId="13" fillId="5" borderId="2" xfId="0" applyFont="1" applyFill="1" applyBorder="1" applyAlignment="1">
      <alignment horizontal="center" vertical="center" wrapText="1"/>
    </xf>
    <xf numFmtId="0" fontId="13" fillId="5" borderId="3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</cellXfs>
  <cellStyles count="4">
    <cellStyle name="百分比" xfId="1" builtinId="5"/>
    <cellStyle name="常规" xfId="0" builtinId="0"/>
    <cellStyle name="常规 2" xfId="2"/>
    <cellStyle name="常规 5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mes.li/Documents/Excel/IT&#37096;&#33853;&#31389;&#20070;&#31295;/&#21271;&#20140;&#28304;&#26234;&#22825;&#19979;&#31185;&#25216;&#26377;&#38480;&#20844;&#21496;/&#25968;&#25454;&#22788;&#29702;&#12289;&#35745;&#31639;&#19982;&#20998;&#26512;/&#31532;5&#31456;/5.5%20%20&#24039;&#22937;&#21033;&#29992;&#20989;&#25968;&#30340;&#27169;&#31946;&#26597;&#2521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税率表"/>
      <sheetName val="个调税"/>
      <sheetName val="成绩分级"/>
    </sheetNames>
    <sheetDataSet>
      <sheetData sheetId="0">
        <row r="2">
          <cell r="B2">
            <v>0</v>
          </cell>
          <cell r="C2">
            <v>3</v>
          </cell>
          <cell r="D2">
            <v>0</v>
          </cell>
        </row>
        <row r="3">
          <cell r="B3">
            <v>1500</v>
          </cell>
          <cell r="C3">
            <v>10</v>
          </cell>
          <cell r="D3">
            <v>105</v>
          </cell>
        </row>
        <row r="4">
          <cell r="B4">
            <v>4500</v>
          </cell>
          <cell r="C4">
            <v>20</v>
          </cell>
          <cell r="D4">
            <v>555</v>
          </cell>
        </row>
        <row r="5">
          <cell r="B5">
            <v>9000</v>
          </cell>
          <cell r="C5">
            <v>25</v>
          </cell>
          <cell r="D5">
            <v>1005</v>
          </cell>
        </row>
        <row r="6">
          <cell r="B6">
            <v>35000</v>
          </cell>
          <cell r="C6">
            <v>30</v>
          </cell>
          <cell r="D6">
            <v>2755</v>
          </cell>
        </row>
        <row r="7">
          <cell r="B7">
            <v>55000</v>
          </cell>
          <cell r="C7">
            <v>35</v>
          </cell>
          <cell r="D7">
            <v>5505</v>
          </cell>
        </row>
        <row r="8">
          <cell r="B8">
            <v>80000</v>
          </cell>
          <cell r="C8">
            <v>45</v>
          </cell>
          <cell r="D8">
            <v>13505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"/>
  <sheetViews>
    <sheetView workbookViewId="0">
      <selection activeCell="L2" sqref="L2"/>
    </sheetView>
  </sheetViews>
  <sheetFormatPr defaultRowHeight="15" x14ac:dyDescent="0.2"/>
  <cols>
    <col min="1" max="1" width="26.109375" customWidth="1"/>
    <col min="2" max="2" width="7.109375" bestFit="1" customWidth="1"/>
    <col min="3" max="3" width="5.33203125" bestFit="1" customWidth="1"/>
    <col min="4" max="4" width="10.77734375" bestFit="1" customWidth="1"/>
    <col min="6" max="6" width="5.5546875" bestFit="1" customWidth="1"/>
    <col min="7" max="7" width="8.44140625" bestFit="1" customWidth="1"/>
    <col min="8" max="8" width="9" bestFit="1" customWidth="1"/>
  </cols>
  <sheetData>
    <row r="1" spans="1:12" x14ac:dyDescent="0.2">
      <c r="A1" s="1" t="s">
        <v>0</v>
      </c>
      <c r="B1" s="1" t="s">
        <v>23</v>
      </c>
      <c r="C1" s="1" t="s">
        <v>1</v>
      </c>
      <c r="D1" s="1" t="s">
        <v>2</v>
      </c>
      <c r="F1" s="2" t="s">
        <v>3</v>
      </c>
      <c r="G1" s="2" t="s">
        <v>4</v>
      </c>
      <c r="H1" s="2" t="s">
        <v>5</v>
      </c>
      <c r="I1" s="2" t="s">
        <v>6</v>
      </c>
    </row>
    <row r="2" spans="1:12" x14ac:dyDescent="0.2">
      <c r="A2" s="3" t="s">
        <v>7</v>
      </c>
      <c r="B2" s="3">
        <v>0</v>
      </c>
      <c r="C2" s="4">
        <v>0.03</v>
      </c>
      <c r="D2" s="5">
        <v>0</v>
      </c>
      <c r="F2" s="6" t="s">
        <v>8</v>
      </c>
      <c r="G2" s="7">
        <v>25000</v>
      </c>
      <c r="H2" s="7">
        <f>G2-3500</f>
        <v>21500</v>
      </c>
      <c r="I2" s="8">
        <v>4370</v>
      </c>
      <c r="K2">
        <f>IF(H2&gt;0,H2*VLOOKUP(H2,B:D,2)-VLOOKUP(H2,B:D,3),0)</f>
        <v>4370</v>
      </c>
      <c r="L2">
        <f t="array" ref="L2">MAX(H2*C$2:C$8-D$2:D$8,0)</f>
        <v>4370</v>
      </c>
    </row>
    <row r="3" spans="1:12" x14ac:dyDescent="0.2">
      <c r="A3" s="3" t="s">
        <v>9</v>
      </c>
      <c r="B3" s="3">
        <v>1500</v>
      </c>
      <c r="C3" s="4">
        <v>0.1</v>
      </c>
      <c r="D3" s="5">
        <v>105</v>
      </c>
      <c r="F3" s="6" t="s">
        <v>10</v>
      </c>
      <c r="G3" s="7">
        <v>7000</v>
      </c>
      <c r="H3" s="7">
        <f t="shared" ref="H3:H10" si="0">G3-3500</f>
        <v>3500</v>
      </c>
      <c r="I3" s="8">
        <v>245</v>
      </c>
      <c r="K3">
        <f t="shared" ref="K3:K10" si="1">IF(H3&gt;0,H3*VLOOKUP(H3,B:D,2)-VLOOKUP(H3,B:D,3),0)</f>
        <v>245</v>
      </c>
      <c r="L3">
        <f t="array" ref="L3">MAX(H3*C$2:C$8-D$2:D$8,0)</f>
        <v>245</v>
      </c>
    </row>
    <row r="4" spans="1:12" x14ac:dyDescent="0.2">
      <c r="A4" s="3" t="s">
        <v>11</v>
      </c>
      <c r="B4" s="3">
        <v>4500</v>
      </c>
      <c r="C4" s="4">
        <v>0.2</v>
      </c>
      <c r="D4" s="5">
        <v>555</v>
      </c>
      <c r="F4" s="6" t="s">
        <v>12</v>
      </c>
      <c r="G4" s="7">
        <v>22000</v>
      </c>
      <c r="H4" s="7">
        <f t="shared" si="0"/>
        <v>18500</v>
      </c>
      <c r="I4" s="8">
        <v>3620</v>
      </c>
      <c r="K4">
        <f t="shared" si="1"/>
        <v>3620</v>
      </c>
      <c r="L4">
        <f t="array" ref="L4">MAX(H4*C$2:C$8-D$2:D$8,0)</f>
        <v>3620</v>
      </c>
    </row>
    <row r="5" spans="1:12" x14ac:dyDescent="0.2">
      <c r="A5" s="3" t="s">
        <v>13</v>
      </c>
      <c r="B5" s="3">
        <v>9000</v>
      </c>
      <c r="C5" s="4">
        <v>0.25</v>
      </c>
      <c r="D5" s="5">
        <v>1005</v>
      </c>
      <c r="F5" s="6" t="s">
        <v>14</v>
      </c>
      <c r="G5" s="7">
        <v>21000</v>
      </c>
      <c r="H5" s="7">
        <f t="shared" si="0"/>
        <v>17500</v>
      </c>
      <c r="I5" s="8">
        <v>3370</v>
      </c>
      <c r="K5">
        <f t="shared" si="1"/>
        <v>3370</v>
      </c>
      <c r="L5">
        <f t="array" ref="L5">MAX(H5*C$2:C$8-D$2:D$8,0)</f>
        <v>3370</v>
      </c>
    </row>
    <row r="6" spans="1:12" x14ac:dyDescent="0.2">
      <c r="A6" s="3" t="s">
        <v>15</v>
      </c>
      <c r="B6" s="3">
        <v>35000</v>
      </c>
      <c r="C6" s="4">
        <v>0.3</v>
      </c>
      <c r="D6" s="5">
        <v>2755</v>
      </c>
      <c r="F6" s="6" t="s">
        <v>16</v>
      </c>
      <c r="G6" s="7">
        <v>14000</v>
      </c>
      <c r="H6" s="7">
        <f t="shared" si="0"/>
        <v>10500</v>
      </c>
      <c r="I6" s="8">
        <v>1620</v>
      </c>
      <c r="K6">
        <f t="shared" si="1"/>
        <v>1620</v>
      </c>
      <c r="L6">
        <f t="array" ref="L6">MAX(H6*C$2:C$8-D$2:D$8,0)</f>
        <v>1620</v>
      </c>
    </row>
    <row r="7" spans="1:12" x14ac:dyDescent="0.2">
      <c r="A7" s="3" t="s">
        <v>17</v>
      </c>
      <c r="B7" s="3">
        <v>55000</v>
      </c>
      <c r="C7" s="4">
        <v>0.35000000000000003</v>
      </c>
      <c r="D7" s="5">
        <v>5505</v>
      </c>
      <c r="F7" s="6" t="s">
        <v>18</v>
      </c>
      <c r="G7" s="7">
        <v>29000</v>
      </c>
      <c r="H7" s="7">
        <f t="shared" si="0"/>
        <v>25500</v>
      </c>
      <c r="I7" s="8">
        <v>5370</v>
      </c>
      <c r="K7">
        <f t="shared" si="1"/>
        <v>5370</v>
      </c>
      <c r="L7">
        <f t="array" ref="L7">MAX(H7*C$2:C$8-D$2:D$8,0)</f>
        <v>5370</v>
      </c>
    </row>
    <row r="8" spans="1:12" x14ac:dyDescent="0.2">
      <c r="A8" s="3" t="s">
        <v>19</v>
      </c>
      <c r="B8" s="3">
        <v>80000</v>
      </c>
      <c r="C8" s="4">
        <v>0.45</v>
      </c>
      <c r="D8" s="5">
        <v>13505</v>
      </c>
      <c r="F8" s="6" t="s">
        <v>20</v>
      </c>
      <c r="G8" s="7">
        <v>10000</v>
      </c>
      <c r="H8" s="7">
        <f t="shared" si="0"/>
        <v>6500</v>
      </c>
      <c r="I8" s="8">
        <v>745</v>
      </c>
      <c r="K8">
        <f t="shared" si="1"/>
        <v>745</v>
      </c>
      <c r="L8">
        <f t="array" ref="L8">MAX(H8*C$2:C$8-D$2:D$8,0)</f>
        <v>745</v>
      </c>
    </row>
    <row r="9" spans="1:12" x14ac:dyDescent="0.2">
      <c r="F9" s="6" t="s">
        <v>21</v>
      </c>
      <c r="G9" s="7">
        <v>3000</v>
      </c>
      <c r="H9" s="7">
        <f t="shared" si="0"/>
        <v>-500</v>
      </c>
      <c r="I9" s="8">
        <v>0</v>
      </c>
      <c r="K9">
        <f t="shared" si="1"/>
        <v>0</v>
      </c>
      <c r="L9">
        <f t="array" ref="L9">MAX(H9*C$2:C$8-D$2:D$8,0)</f>
        <v>0</v>
      </c>
    </row>
    <row r="10" spans="1:12" x14ac:dyDescent="0.2">
      <c r="F10" s="6" t="s">
        <v>22</v>
      </c>
      <c r="G10" s="7">
        <v>29000</v>
      </c>
      <c r="H10" s="7">
        <f t="shared" si="0"/>
        <v>25500</v>
      </c>
      <c r="I10" s="8">
        <v>5370</v>
      </c>
      <c r="K10">
        <f t="shared" si="1"/>
        <v>5370</v>
      </c>
      <c r="L10">
        <f t="array" ref="L10">MAX(H10*C$2:C$8-D$2:D$8,0)</f>
        <v>5370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workbookViewId="0">
      <selection activeCell="E4" sqref="E4"/>
    </sheetView>
  </sheetViews>
  <sheetFormatPr defaultRowHeight="15" x14ac:dyDescent="0.2"/>
  <cols>
    <col min="1" max="1" width="8.88671875" style="10"/>
    <col min="3" max="3" width="8.88671875" style="9"/>
    <col min="4" max="4" width="12.109375" style="10" bestFit="1" customWidth="1"/>
    <col min="5" max="5" width="8.109375" style="10" bestFit="1" customWidth="1"/>
  </cols>
  <sheetData>
    <row r="1" spans="1:5" ht="15.75" x14ac:dyDescent="0.2">
      <c r="A1" s="20" t="s">
        <v>52</v>
      </c>
      <c r="B1" s="21" t="s">
        <v>53</v>
      </c>
      <c r="C1" s="22" t="s">
        <v>49</v>
      </c>
      <c r="D1" s="20" t="s">
        <v>2</v>
      </c>
      <c r="E1" s="20" t="s">
        <v>54</v>
      </c>
    </row>
    <row r="2" spans="1:5" x14ac:dyDescent="0.2">
      <c r="A2" s="14">
        <v>8000</v>
      </c>
      <c r="B2" s="15" t="s">
        <v>43</v>
      </c>
      <c r="C2" s="16">
        <v>0.03</v>
      </c>
      <c r="D2" s="12">
        <v>0</v>
      </c>
      <c r="E2" s="12">
        <f>A2*C2-D2</f>
        <v>240</v>
      </c>
    </row>
    <row r="3" spans="1:5" x14ac:dyDescent="0.2">
      <c r="A3" s="14">
        <v>8000</v>
      </c>
      <c r="B3" s="15" t="s">
        <v>44</v>
      </c>
      <c r="C3" s="16">
        <v>0.1</v>
      </c>
      <c r="D3" s="12">
        <v>105</v>
      </c>
      <c r="E3" s="12">
        <f t="shared" ref="E3:E8" si="0">A3*C3-D3</f>
        <v>695</v>
      </c>
    </row>
    <row r="4" spans="1:5" x14ac:dyDescent="0.2">
      <c r="A4" s="17">
        <v>8000</v>
      </c>
      <c r="B4" s="18" t="s">
        <v>50</v>
      </c>
      <c r="C4" s="19">
        <v>0.2</v>
      </c>
      <c r="D4" s="13">
        <v>555</v>
      </c>
      <c r="E4" s="13">
        <f t="shared" si="0"/>
        <v>1045</v>
      </c>
    </row>
    <row r="5" spans="1:5" x14ac:dyDescent="0.2">
      <c r="A5" s="14">
        <v>8000</v>
      </c>
      <c r="B5" s="15" t="s">
        <v>45</v>
      </c>
      <c r="C5" s="16">
        <v>0.25</v>
      </c>
      <c r="D5" s="12">
        <v>1005</v>
      </c>
      <c r="E5" s="12">
        <f t="shared" si="0"/>
        <v>995</v>
      </c>
    </row>
    <row r="6" spans="1:5" x14ac:dyDescent="0.2">
      <c r="A6" s="14">
        <v>8000</v>
      </c>
      <c r="B6" s="15" t="s">
        <v>46</v>
      </c>
      <c r="C6" s="16">
        <v>0.3</v>
      </c>
      <c r="D6" s="12">
        <v>2755</v>
      </c>
      <c r="E6" s="12">
        <f t="shared" si="0"/>
        <v>-355</v>
      </c>
    </row>
    <row r="7" spans="1:5" x14ac:dyDescent="0.2">
      <c r="A7" s="14">
        <v>8000</v>
      </c>
      <c r="B7" s="15" t="s">
        <v>47</v>
      </c>
      <c r="C7" s="16">
        <v>0.35000000000000003</v>
      </c>
      <c r="D7" s="12">
        <v>5505</v>
      </c>
      <c r="E7" s="12">
        <f t="shared" si="0"/>
        <v>-2704.9999999999995</v>
      </c>
    </row>
    <row r="8" spans="1:5" x14ac:dyDescent="0.2">
      <c r="A8" s="14">
        <v>8000</v>
      </c>
      <c r="B8" s="15" t="s">
        <v>48</v>
      </c>
      <c r="C8" s="16">
        <v>0.45</v>
      </c>
      <c r="D8" s="12">
        <v>13505</v>
      </c>
      <c r="E8" s="12">
        <f t="shared" si="0"/>
        <v>-9905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sqref="A1:F9"/>
    </sheetView>
  </sheetViews>
  <sheetFormatPr defaultRowHeight="15" x14ac:dyDescent="0.2"/>
  <cols>
    <col min="1" max="1" width="6.6640625" bestFit="1" customWidth="1"/>
    <col min="2" max="2" width="11.33203125" customWidth="1"/>
    <col min="3" max="3" width="11.109375" customWidth="1"/>
    <col min="4" max="4" width="12.109375" customWidth="1"/>
    <col min="5" max="5" width="11" customWidth="1"/>
  </cols>
  <sheetData>
    <row r="1" spans="1:6" x14ac:dyDescent="0.2">
      <c r="A1" s="38" t="s">
        <v>24</v>
      </c>
      <c r="B1" s="38"/>
      <c r="C1" s="38" t="s">
        <v>25</v>
      </c>
      <c r="D1" s="38"/>
      <c r="E1" s="38"/>
      <c r="F1" s="38"/>
    </row>
    <row r="2" spans="1:6" x14ac:dyDescent="0.2">
      <c r="A2" s="38"/>
      <c r="B2" s="38"/>
      <c r="C2" s="38" t="s">
        <v>26</v>
      </c>
      <c r="D2" s="36" t="s">
        <v>51</v>
      </c>
      <c r="E2" s="38" t="s">
        <v>27</v>
      </c>
      <c r="F2" s="38" t="s">
        <v>28</v>
      </c>
    </row>
    <row r="3" spans="1:6" x14ac:dyDescent="0.2">
      <c r="A3" s="38"/>
      <c r="B3" s="38"/>
      <c r="C3" s="38"/>
      <c r="D3" s="37"/>
      <c r="E3" s="38"/>
      <c r="F3" s="38"/>
    </row>
    <row r="4" spans="1:6" x14ac:dyDescent="0.2">
      <c r="A4" s="35" t="s">
        <v>29</v>
      </c>
      <c r="B4" s="23" t="s">
        <v>30</v>
      </c>
      <c r="C4" s="11" t="s">
        <v>31</v>
      </c>
      <c r="D4" s="11" t="s">
        <v>32</v>
      </c>
      <c r="E4" s="11" t="s">
        <v>33</v>
      </c>
      <c r="F4" s="11" t="s">
        <v>34</v>
      </c>
    </row>
    <row r="5" spans="1:6" x14ac:dyDescent="0.2">
      <c r="A5" s="35"/>
      <c r="B5" s="23" t="s">
        <v>35</v>
      </c>
      <c r="C5" s="11" t="s">
        <v>36</v>
      </c>
      <c r="D5" s="11" t="s">
        <v>33</v>
      </c>
      <c r="E5" s="11" t="s">
        <v>37</v>
      </c>
      <c r="F5" s="11" t="s">
        <v>38</v>
      </c>
    </row>
    <row r="6" spans="1:6" x14ac:dyDescent="0.2">
      <c r="A6" s="35"/>
      <c r="B6" s="23" t="s">
        <v>39</v>
      </c>
      <c r="C6" s="11" t="s">
        <v>36</v>
      </c>
      <c r="D6" s="11" t="s">
        <v>33</v>
      </c>
      <c r="E6" s="11" t="s">
        <v>37</v>
      </c>
      <c r="F6" s="11" t="s">
        <v>38</v>
      </c>
    </row>
    <row r="7" spans="1:6" x14ac:dyDescent="0.2">
      <c r="A7" s="35"/>
      <c r="B7" s="23" t="s">
        <v>40</v>
      </c>
      <c r="C7" s="11" t="s">
        <v>36</v>
      </c>
      <c r="D7" s="11" t="s">
        <v>33</v>
      </c>
      <c r="E7" s="11" t="s">
        <v>37</v>
      </c>
      <c r="F7" s="11" t="s">
        <v>38</v>
      </c>
    </row>
    <row r="8" spans="1:6" x14ac:dyDescent="0.2">
      <c r="A8" s="35"/>
      <c r="B8" s="23" t="s">
        <v>41</v>
      </c>
      <c r="C8" s="11" t="s">
        <v>36</v>
      </c>
      <c r="D8" s="11" t="s">
        <v>33</v>
      </c>
      <c r="E8" s="11" t="s">
        <v>37</v>
      </c>
      <c r="F8" s="11" t="s">
        <v>38</v>
      </c>
    </row>
    <row r="9" spans="1:6" x14ac:dyDescent="0.2">
      <c r="A9" s="35"/>
      <c r="B9" s="23" t="s">
        <v>42</v>
      </c>
      <c r="C9" s="11" t="s">
        <v>36</v>
      </c>
      <c r="D9" s="11" t="s">
        <v>33</v>
      </c>
      <c r="E9" s="11" t="s">
        <v>37</v>
      </c>
      <c r="F9" s="11" t="s">
        <v>38</v>
      </c>
    </row>
  </sheetData>
  <mergeCells count="7">
    <mergeCell ref="A4:A9"/>
    <mergeCell ref="D2:D3"/>
    <mergeCell ref="A1:B3"/>
    <mergeCell ref="C1:F1"/>
    <mergeCell ref="C2:C3"/>
    <mergeCell ref="E2:E3"/>
    <mergeCell ref="F2:F3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"/>
  <sheetViews>
    <sheetView workbookViewId="0">
      <selection activeCell="D11" sqref="D11"/>
    </sheetView>
  </sheetViews>
  <sheetFormatPr defaultRowHeight="14.25" x14ac:dyDescent="0.2"/>
  <cols>
    <col min="1" max="1" width="12.6640625" style="33" bestFit="1" customWidth="1"/>
    <col min="2" max="2" width="6.77734375" style="34" bestFit="1" customWidth="1"/>
    <col min="3" max="3" width="11.21875" style="33" bestFit="1" customWidth="1"/>
    <col min="4" max="4" width="33" style="28" bestFit="1" customWidth="1"/>
    <col min="5" max="5" width="8.5546875" style="28" hidden="1" customWidth="1"/>
    <col min="6" max="6" width="31.21875" style="28" bestFit="1" customWidth="1"/>
    <col min="7" max="16384" width="8.88671875" style="28"/>
  </cols>
  <sheetData>
    <row r="1" spans="1:6" ht="15" x14ac:dyDescent="0.2">
      <c r="A1" s="26" t="s">
        <v>59</v>
      </c>
      <c r="B1" s="27" t="s">
        <v>60</v>
      </c>
      <c r="C1" s="26" t="s">
        <v>61</v>
      </c>
      <c r="D1" s="26" t="s">
        <v>62</v>
      </c>
      <c r="F1" s="26" t="s">
        <v>63</v>
      </c>
    </row>
    <row r="2" spans="1:6" x14ac:dyDescent="0.2">
      <c r="A2" s="29">
        <v>0</v>
      </c>
      <c r="B2" s="30">
        <v>2.5000000000000001E-3</v>
      </c>
      <c r="C2" s="29">
        <v>0</v>
      </c>
      <c r="D2" s="31"/>
      <c r="F2" s="31"/>
    </row>
    <row r="3" spans="1:6" x14ac:dyDescent="0.2">
      <c r="A3" s="29">
        <v>10000000</v>
      </c>
      <c r="B3" s="30">
        <v>1.4999999999999999E-4</v>
      </c>
      <c r="C3" s="29">
        <f t="array" ref="C3">A3*B3-SUM((A$3:A3-A$2:A2)*B$2:B2)</f>
        <v>-23500</v>
      </c>
      <c r="D3" s="31" t="s">
        <v>64</v>
      </c>
      <c r="E3" s="32">
        <v>-23500</v>
      </c>
      <c r="F3" s="31" t="s">
        <v>65</v>
      </c>
    </row>
    <row r="4" spans="1:6" x14ac:dyDescent="0.2">
      <c r="A4" s="29">
        <v>100000000</v>
      </c>
      <c r="B4" s="30">
        <v>1E-4</v>
      </c>
      <c r="C4" s="29">
        <f t="array" ref="C4">A4*B4-SUM((A$3:A4-A$2:A3)*B$2:B3)</f>
        <v>-28500</v>
      </c>
      <c r="D4" s="31" t="s">
        <v>66</v>
      </c>
      <c r="E4" s="32">
        <v>-28500</v>
      </c>
      <c r="F4" s="31" t="s">
        <v>67</v>
      </c>
    </row>
    <row r="5" spans="1:6" x14ac:dyDescent="0.2">
      <c r="A5" s="29">
        <v>1000000000</v>
      </c>
      <c r="B5" s="30">
        <v>2.0000000000000002E-5</v>
      </c>
      <c r="C5" s="29">
        <f t="array" ref="C5">A5*B5-SUM((A$3:A5-A$2:A4)*B$2:B4)</f>
        <v>-108500</v>
      </c>
      <c r="D5" s="31" t="s">
        <v>68</v>
      </c>
      <c r="E5" s="32">
        <v>-108500</v>
      </c>
      <c r="F5" s="31" t="s">
        <v>69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8"/>
  <sheetViews>
    <sheetView tabSelected="1" workbookViewId="0">
      <selection activeCell="D7" sqref="D7"/>
    </sheetView>
  </sheetViews>
  <sheetFormatPr defaultRowHeight="15" x14ac:dyDescent="0.2"/>
  <cols>
    <col min="1" max="1" width="14.109375" style="10" bestFit="1" customWidth="1"/>
    <col min="2" max="2" width="10" style="10" bestFit="1" customWidth="1"/>
    <col min="3" max="3" width="9.109375" bestFit="1" customWidth="1"/>
    <col min="4" max="4" width="12.109375" style="10" bestFit="1" customWidth="1"/>
  </cols>
  <sheetData>
    <row r="1" spans="1:4" ht="15.75" x14ac:dyDescent="0.2">
      <c r="A1" s="24" t="s">
        <v>55</v>
      </c>
      <c r="B1" s="24" t="s">
        <v>57</v>
      </c>
      <c r="C1" s="25" t="s">
        <v>56</v>
      </c>
      <c r="D1" s="24" t="s">
        <v>58</v>
      </c>
    </row>
    <row r="2" spans="1:4" x14ac:dyDescent="0.2">
      <c r="A2" s="10">
        <v>5000000</v>
      </c>
      <c r="B2" s="10">
        <f>A2*VLOOKUP(A2,速算扣除!A:C,2)-VLOOKUP(A2,速算扣除!A:C,3)</f>
        <v>12500</v>
      </c>
      <c r="C2" s="10">
        <f t="array" ref="C2">MIN(A2*速算扣除!B$2:B$5-速算扣除!C$2:C$5)</f>
        <v>12500</v>
      </c>
      <c r="D2" s="10">
        <f>年度审计(A2)</f>
        <v>12500</v>
      </c>
    </row>
    <row r="3" spans="1:4" x14ac:dyDescent="0.2">
      <c r="A3" s="10">
        <v>10000000</v>
      </c>
      <c r="B3" s="10">
        <f>A3*VLOOKUP(A3,速算扣除!A:C,2)-VLOOKUP(A3,速算扣除!A:C,3)</f>
        <v>25000</v>
      </c>
      <c r="C3" s="10">
        <f t="array" ref="C3">MIN(A3*速算扣除!B$2:B$5-速算扣除!C$2:C$5)</f>
        <v>25000</v>
      </c>
      <c r="D3" s="10">
        <f t="shared" ref="D3:D8" si="0">年度审计(A3)</f>
        <v>25000</v>
      </c>
    </row>
    <row r="4" spans="1:4" x14ac:dyDescent="0.2">
      <c r="A4" s="10">
        <v>50000000</v>
      </c>
      <c r="B4" s="10">
        <f>A4*VLOOKUP(A4,速算扣除!A:C,2)-VLOOKUP(A4,速算扣除!A:C,3)</f>
        <v>31000</v>
      </c>
      <c r="C4" s="10">
        <f t="array" ref="C4">MIN(A4*速算扣除!B$2:B$5-速算扣除!C$2:C$5)</f>
        <v>31000</v>
      </c>
      <c r="D4" s="10">
        <f t="shared" si="0"/>
        <v>31000</v>
      </c>
    </row>
    <row r="5" spans="1:4" x14ac:dyDescent="0.2">
      <c r="A5" s="10">
        <v>100000000</v>
      </c>
      <c r="B5" s="10">
        <f>A5*VLOOKUP(A5,速算扣除!A:C,2)-VLOOKUP(A5,速算扣除!A:C,3)</f>
        <v>38500</v>
      </c>
      <c r="C5" s="10">
        <f t="array" ref="C5">MIN(A5*速算扣除!B$2:B$5-速算扣除!C$2:C$5)</f>
        <v>38500</v>
      </c>
      <c r="D5" s="10">
        <f t="shared" si="0"/>
        <v>38500</v>
      </c>
    </row>
    <row r="6" spans="1:4" x14ac:dyDescent="0.2">
      <c r="A6" s="10">
        <v>500000000</v>
      </c>
      <c r="B6" s="10">
        <f>A6*VLOOKUP(A6,速算扣除!A:C,2)-VLOOKUP(A6,速算扣除!A:C,3)</f>
        <v>78500</v>
      </c>
      <c r="C6" s="10">
        <f t="array" ref="C6">MIN(A6*速算扣除!B$2:B$5-速算扣除!C$2:C$5)</f>
        <v>78500</v>
      </c>
      <c r="D6" s="10">
        <f t="shared" si="0"/>
        <v>78500</v>
      </c>
    </row>
    <row r="7" spans="1:4" x14ac:dyDescent="0.2">
      <c r="A7" s="10">
        <v>1000000000</v>
      </c>
      <c r="B7" s="10">
        <f>A7*VLOOKUP(A7,速算扣除!A:C,2)-VLOOKUP(A7,速算扣除!A:C,3)</f>
        <v>128500</v>
      </c>
      <c r="C7" s="10">
        <f t="array" ref="C7">MIN(A7*速算扣除!B$2:B$5-速算扣除!C$2:C$5)</f>
        <v>128500</v>
      </c>
      <c r="D7" s="10">
        <f t="shared" si="0"/>
        <v>128500</v>
      </c>
    </row>
    <row r="8" spans="1:4" x14ac:dyDescent="0.2">
      <c r="A8" s="10">
        <v>1500000000</v>
      </c>
      <c r="B8" s="10">
        <f>A8*VLOOKUP(A8,速算扣除!A:C,2)-VLOOKUP(A8,速算扣除!A:C,3)</f>
        <v>138500</v>
      </c>
      <c r="C8" s="10">
        <f t="array" ref="C8">MIN(A8*速算扣除!B$2:B$5-速算扣除!C$2:C$5)</f>
        <v>138500</v>
      </c>
      <c r="D8" s="10">
        <f t="shared" si="0"/>
        <v>138500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个人所得税</vt:lpstr>
      <vt:lpstr>测算</vt:lpstr>
      <vt:lpstr>审计费率</vt:lpstr>
      <vt:lpstr>速算扣除</vt:lpstr>
      <vt:lpstr>审计费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james.li</dc:creator>
  <cp:lastModifiedBy>james.li</cp:lastModifiedBy>
  <dcterms:created xsi:type="dcterms:W3CDTF">2013-09-11T03:09:44Z</dcterms:created>
  <dcterms:modified xsi:type="dcterms:W3CDTF">2013-10-29T06:18:55Z</dcterms:modified>
</cp:coreProperties>
</file>